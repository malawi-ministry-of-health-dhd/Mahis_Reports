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cator Detail" sheetId="2" state="visible" r:id="rId2"/>
    <sheet name="ANC" sheetId="3" state="visible" r:id="rId3"/>
    <sheet name="Labour" sheetId="4" state="visible" r:id="rId4"/>
    <sheet name="Newborn" sheetId="5" state="visible" r:id="rId5"/>
    <sheet name="PNC" sheetId="6" state="visible" r:id="rId6"/>
    <sheet name="MNID Calculations" sheetId="7" state="visible" r:id="rId7"/>
    <sheet name="MAHIS Color Cod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1"/>
    </font>
    <font>
      <b val="1"/>
      <color rgb="00FFFFFF"/>
      <sz val="13"/>
    </font>
    <font>
      <b val="1"/>
      <color rgb="00FFFFFF"/>
      <sz val="9"/>
    </font>
    <font>
      <color rgb="00212121"/>
      <sz val="10"/>
    </font>
    <font>
      <b val="1"/>
      <sz val="10"/>
    </font>
    <font>
      <color rgb="00212121"/>
      <sz val="9"/>
    </font>
    <font>
      <b val="1"/>
      <color rgb="00212121"/>
      <sz val="9"/>
    </font>
    <font>
      <color rgb="00A8D8EA"/>
      <sz val="9"/>
    </font>
    <font>
      <color rgb="00FAC75A"/>
      <sz val="9"/>
    </font>
    <font>
      <color rgb="00555555"/>
      <sz val="9"/>
    </font>
    <font>
      <color rgb="0000FF99"/>
      <sz val="9"/>
    </font>
    <font>
      <b val="1"/>
      <color rgb="00F0E68C"/>
      <sz val="9"/>
    </font>
    <font>
      <color rgb="005D4037"/>
      <sz val="9"/>
    </font>
    <font>
      <color rgb="001B5E20"/>
      <sz val="9"/>
    </font>
  </fonts>
  <fills count="6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E65100"/>
        <bgColor rgb="00E65100"/>
      </patternFill>
    </fill>
    <fill>
      <patternFill patternType="solid">
        <fgColor rgb="00F9A825"/>
        <bgColor rgb="00F9A825"/>
      </patternFill>
    </fill>
    <fill>
      <patternFill patternType="solid">
        <fgColor rgb="00C62828"/>
        <bgColor rgb="00C62828"/>
      </patternFill>
    </fill>
    <fill>
      <patternFill patternType="solid">
        <fgColor rgb="006A1B9A"/>
        <bgColor rgb="006A1B9A"/>
      </patternFill>
    </fill>
    <fill>
      <patternFill patternType="solid">
        <fgColor rgb="001B5E20"/>
        <bgColor rgb="001B5E20"/>
      </patternFill>
    </fill>
    <fill>
      <patternFill patternType="solid">
        <fgColor rgb="004A148C"/>
        <bgColor rgb="004A148C"/>
      </patternFill>
    </fill>
    <fill>
      <patternFill patternType="solid">
        <fgColor rgb="00880E4F"/>
        <bgColor rgb="00880E4F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E8EAF6"/>
        <bgColor rgb="00E8EAF6"/>
      </patternFill>
    </fill>
    <fill>
      <patternFill patternType="solid">
        <fgColor rgb="00C5CAE9"/>
        <bgColor rgb="00C5CAE9"/>
      </patternFill>
    </fill>
    <fill>
      <patternFill patternType="solid">
        <fgColor rgb="00E1BEE7"/>
        <bgColor rgb="00E1BEE7"/>
      </patternFill>
    </fill>
    <fill>
      <patternFill patternType="solid">
        <fgColor rgb="00F3E5F5"/>
        <bgColor rgb="00F3E5F5"/>
      </patternFill>
    </fill>
    <fill>
      <patternFill patternType="solid">
        <fgColor rgb="00F8BBD0"/>
        <bgColor rgb="00F8BBD0"/>
      </patternFill>
    </fill>
    <fill>
      <patternFill patternType="solid">
        <fgColor rgb="00FCE4EC"/>
        <bgColor rgb="00FCE4EC"/>
      </patternFill>
    </fill>
    <fill>
      <patternFill patternType="solid">
        <fgColor rgb="00263238"/>
        <bgColor rgb="00263238"/>
      </patternFill>
    </fill>
    <fill>
      <patternFill patternType="solid">
        <fgColor rgb="000A0A1A"/>
        <bgColor rgb="000A0A1A"/>
      </patternFill>
    </fill>
    <fill>
      <patternFill patternType="solid">
        <fgColor rgb="000D1117"/>
        <bgColor rgb="000D1117"/>
      </patternFill>
    </fill>
    <fill>
      <patternFill patternType="solid">
        <fgColor rgb="001C2833"/>
        <bgColor rgb="001C2833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DCEDC8"/>
        <bgColor rgb="00DCEDC8"/>
      </patternFill>
    </fill>
    <fill>
      <patternFill patternType="solid">
        <fgColor rgb="00BBDEFB"/>
        <bgColor rgb="00BBDEFB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B71C1C"/>
        <bgColor rgb="00B71C1C"/>
      </patternFill>
    </fill>
    <fill>
      <patternFill patternType="solid">
        <fgColor rgb="00EDE7F6"/>
        <bgColor rgb="00EDE7F6"/>
      </patternFill>
    </fill>
    <fill>
      <patternFill patternType="solid">
        <fgColor rgb="00D1C4E9"/>
        <bgColor rgb="00D1C4E9"/>
      </patternFill>
    </fill>
    <fill>
      <patternFill patternType="solid">
        <fgColor rgb="00F57F17"/>
        <bgColor rgb="00F57F17"/>
      </patternFill>
    </fill>
    <fill>
      <patternFill patternType="solid">
        <fgColor rgb="00AD1457"/>
        <bgColor rgb="00AD1457"/>
      </patternFill>
    </fill>
    <fill>
      <patternFill patternType="solid">
        <fgColor rgb="00FFE0B2"/>
        <bgColor rgb="00FFE0B2"/>
      </patternFill>
    </fill>
    <fill>
      <patternFill patternType="solid">
        <fgColor rgb="00C2185B"/>
        <bgColor rgb="00C2185B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  <fill>
      <patternFill patternType="solid">
        <fgColor rgb="00FAFAFA"/>
        <bgColor rgb="00FAFAFA"/>
      </patternFill>
    </fill>
    <fill>
      <patternFill patternType="solid">
        <fgColor rgb="003B6D11"/>
        <bgColor rgb="003B6D11"/>
      </patternFill>
    </fill>
    <fill>
      <patternFill patternType="solid">
        <fgColor rgb="00C0DD97"/>
        <bgColor rgb="00C0DD97"/>
      </patternFill>
    </fill>
    <fill>
      <patternFill patternType="solid">
        <fgColor rgb="00EAF3DE"/>
        <bgColor rgb="00EAF3DE"/>
      </patternFill>
    </fill>
    <fill>
      <patternFill patternType="solid">
        <fgColor rgb="00BA7517"/>
        <bgColor rgb="00BA7517"/>
      </patternFill>
    </fill>
    <fill>
      <patternFill patternType="solid">
        <fgColor rgb="00FAC775"/>
        <bgColor rgb="00FAC775"/>
      </patternFill>
    </fill>
    <fill>
      <patternFill patternType="solid">
        <fgColor rgb="00FAEEDA"/>
        <bgColor rgb="00FAEEDA"/>
      </patternFill>
    </fill>
    <fill>
      <patternFill patternType="solid">
        <fgColor rgb="00A32D2D"/>
        <bgColor rgb="00A32D2D"/>
      </patternFill>
    </fill>
    <fill>
      <patternFill patternType="solid">
        <fgColor rgb="00E24B4A"/>
        <bgColor rgb="00E24B4A"/>
      </patternFill>
    </fill>
    <fill>
      <patternFill patternType="solid">
        <fgColor rgb="00FCEBEB"/>
        <bgColor rgb="00FCEBEB"/>
      </patternFill>
    </fill>
    <fill>
      <patternFill patternType="solid">
        <fgColor rgb="00F7C1C1"/>
        <bgColor rgb="00F7C1C1"/>
      </patternFill>
    </fill>
    <fill>
      <patternFill patternType="solid">
        <fgColor rgb="000C447C"/>
        <bgColor rgb="000C447C"/>
      </patternFill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B5D4F4"/>
        <bgColor rgb="00B5D4F4"/>
      </patternFill>
    </fill>
    <fill>
      <patternFill patternType="solid">
        <fgColor rgb="00FCE4E4"/>
        <bgColor rgb="00FCE4E4"/>
      </patternFill>
    </fill>
    <fill>
      <patternFill patternType="solid">
        <fgColor rgb="001A1A18"/>
        <bgColor rgb="001A1A18"/>
      </patternFill>
    </fill>
    <fill>
      <patternFill patternType="solid">
        <fgColor rgb="0073726C"/>
        <bgColor rgb="0073726C"/>
      </patternFill>
    </fill>
    <fill>
      <patternFill patternType="solid">
        <fgColor rgb="00B4B2A9"/>
        <bgColor rgb="00B4B2A9"/>
      </patternFill>
    </fill>
    <fill>
      <patternFill patternType="solid">
        <fgColor rgb="00E0DED6"/>
        <bgColor rgb="00E0DED6"/>
      </patternFill>
    </fill>
    <fill>
      <patternFill patternType="solid">
        <fgColor rgb="00F5F4F0"/>
        <bgColor rgb="00F5F4F0"/>
      </patternFill>
    </fill>
    <fill>
      <patternFill patternType="solid">
        <fgColor rgb="00FFFFFF"/>
        <bgColor rgb="00FFFFFF"/>
      </patternFill>
    </fill>
    <fill>
      <patternFill patternType="solid">
        <fgColor rgb="00F1EFE8"/>
        <bgColor rgb="00F1EFE8"/>
      </patternFill>
    </fill>
    <fill>
      <patternFill patternType="solid">
        <fgColor rgb="0027500A"/>
        <bgColor rgb="0027500A"/>
      </patternFill>
    </fill>
    <fill>
      <patternFill patternType="solid">
        <fgColor rgb="00558B2F"/>
        <bgColor rgb="00558B2F"/>
      </patternFill>
    </fill>
    <fill>
      <patternFill patternType="solid">
        <fgColor rgb="0000695C"/>
        <bgColor rgb="0000695C"/>
      </patternFill>
    </fill>
    <fill>
      <patternFill patternType="solid">
        <fgColor rgb="000277BD"/>
        <bgColor rgb="000277BD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center" vertical="top" wrapText="1"/>
    </xf>
    <xf numFmtId="0" fontId="9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9" fillId="18" borderId="1" applyAlignment="1" pivotButton="0" quotePrefix="0" xfId="0">
      <alignment horizontal="left" vertical="top" wrapText="1"/>
    </xf>
    <xf numFmtId="0" fontId="10" fillId="18" borderId="1" applyAlignment="1" pivotButton="0" quotePrefix="0" xfId="0">
      <alignment horizontal="center" vertical="top" wrapText="1"/>
    </xf>
    <xf numFmtId="0" fontId="9" fillId="19" borderId="1" applyAlignment="1" pivotButton="0" quotePrefix="0" xfId="0">
      <alignment horizontal="left" vertical="top" wrapText="1"/>
    </xf>
    <xf numFmtId="0" fontId="10" fillId="19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9" fillId="20" borderId="1" applyAlignment="1" pivotButton="0" quotePrefix="0" xfId="0">
      <alignment horizontal="left" vertical="top" wrapText="1"/>
    </xf>
    <xf numFmtId="0" fontId="10" fillId="20" borderId="1" applyAlignment="1" pivotButton="0" quotePrefix="0" xfId="0">
      <alignment horizontal="center" vertical="top" wrapText="1"/>
    </xf>
    <xf numFmtId="0" fontId="9" fillId="21" borderId="1" applyAlignment="1" pivotButton="0" quotePrefix="0" xfId="0">
      <alignment horizontal="left" vertical="top" wrapText="1"/>
    </xf>
    <xf numFmtId="0" fontId="10" fillId="21" borderId="1" applyAlignment="1" pivotButton="0" quotePrefix="0" xfId="0">
      <alignment horizontal="center" vertical="top" wrapText="1"/>
    </xf>
    <xf numFmtId="0" fontId="7" fillId="11" borderId="0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9" fillId="17" borderId="1" applyAlignment="1" pivotButton="0" quotePrefix="0" xfId="0">
      <alignment horizontal="center" vertical="top" wrapText="1"/>
    </xf>
    <xf numFmtId="0" fontId="7" fillId="12" borderId="0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top" wrapText="1"/>
    </xf>
    <xf numFmtId="0" fontId="9" fillId="18" borderId="1" applyAlignment="1" pivotButton="0" quotePrefix="0" xfId="0">
      <alignment horizontal="center" vertical="top" wrapText="1"/>
    </xf>
    <xf numFmtId="0" fontId="7" fillId="13" borderId="0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top" wrapText="1"/>
    </xf>
    <xf numFmtId="0" fontId="9" fillId="20" borderId="1" applyAlignment="1" pivotButton="0" quotePrefix="0" xfId="0">
      <alignment horizontal="center" vertical="top" wrapText="1"/>
    </xf>
    <xf numFmtId="0" fontId="8" fillId="22" borderId="2" applyAlignment="1" pivotButton="0" quotePrefix="0" xfId="0">
      <alignment horizontal="center" vertical="center" wrapText="1"/>
    </xf>
    <xf numFmtId="0" fontId="11" fillId="14" borderId="3" applyAlignment="1" pivotButton="0" quotePrefix="0" xfId="0">
      <alignment horizontal="center" vertical="top" wrapText="1"/>
    </xf>
    <xf numFmtId="0" fontId="8" fillId="11" borderId="3" applyAlignment="1" pivotButton="0" quotePrefix="0" xfId="0">
      <alignment horizontal="left" vertical="top" wrapText="1"/>
    </xf>
    <xf numFmtId="0" fontId="11" fillId="14" borderId="3" applyAlignment="1" pivotButton="0" quotePrefix="0" xfId="0">
      <alignment horizontal="left" vertical="top" wrapText="1"/>
    </xf>
    <xf numFmtId="0" fontId="12" fillId="14" borderId="3" applyAlignment="1" pivotButton="0" quotePrefix="0" xfId="0">
      <alignment horizontal="center" vertical="top" wrapText="1"/>
    </xf>
    <xf numFmtId="0" fontId="8" fillId="6" borderId="3" applyAlignment="1" pivotButton="0" quotePrefix="0" xfId="0">
      <alignment horizontal="center" vertical="top" wrapText="1"/>
    </xf>
    <xf numFmtId="0" fontId="13" fillId="23" borderId="3" applyAlignment="1" pivotButton="0" quotePrefix="0" xfId="0">
      <alignment horizontal="left" vertical="top" wrapText="1"/>
    </xf>
    <xf numFmtId="0" fontId="14" fillId="23" borderId="3" applyAlignment="1" pivotButton="0" quotePrefix="0" xfId="0">
      <alignment horizontal="left" vertical="top" wrapText="1"/>
    </xf>
    <xf numFmtId="0" fontId="15" fillId="14" borderId="3" applyAlignment="1" pivotButton="0" quotePrefix="0" xfId="0">
      <alignment horizontal="left" vertical="top" wrapText="1"/>
    </xf>
    <xf numFmtId="0" fontId="16" fillId="24" borderId="3" applyAlignment="1" pivotButton="0" quotePrefix="0" xfId="0">
      <alignment horizontal="left" vertical="top" wrapText="1"/>
    </xf>
    <xf numFmtId="0" fontId="17" fillId="25" borderId="3" applyAlignment="1" pivotButton="0" quotePrefix="0" xfId="0">
      <alignment horizontal="center" vertical="top" wrapText="1"/>
    </xf>
    <xf numFmtId="0" fontId="18" fillId="26" borderId="3" applyAlignment="1" pivotButton="0" quotePrefix="0" xfId="0">
      <alignment horizontal="left" vertical="top" wrapText="1"/>
    </xf>
    <xf numFmtId="0" fontId="19" fillId="14" borderId="3" applyAlignment="1" pivotButton="0" quotePrefix="0" xfId="0">
      <alignment horizontal="left" vertical="top" wrapText="1"/>
    </xf>
    <xf numFmtId="0" fontId="11" fillId="15" borderId="3" applyAlignment="1" pivotButton="0" quotePrefix="0" xfId="0">
      <alignment horizontal="center" vertical="top" wrapText="1"/>
    </xf>
    <xf numFmtId="0" fontId="11" fillId="15" borderId="3" applyAlignment="1" pivotButton="0" quotePrefix="0" xfId="0">
      <alignment horizontal="left" vertical="top" wrapText="1"/>
    </xf>
    <xf numFmtId="0" fontId="12" fillId="15" borderId="3" applyAlignment="1" pivotButton="0" quotePrefix="0" xfId="0">
      <alignment horizontal="center" vertical="top" wrapText="1"/>
    </xf>
    <xf numFmtId="0" fontId="8" fillId="7" borderId="3" applyAlignment="1" pivotButton="0" quotePrefix="0" xfId="0">
      <alignment horizontal="center" vertical="top" wrapText="1"/>
    </xf>
    <xf numFmtId="0" fontId="15" fillId="15" borderId="3" applyAlignment="1" pivotButton="0" quotePrefix="0" xfId="0">
      <alignment horizontal="left" vertical="top" wrapText="1"/>
    </xf>
    <xf numFmtId="0" fontId="11" fillId="27" borderId="3" applyAlignment="1" pivotButton="0" quotePrefix="0" xfId="0">
      <alignment horizontal="center" vertical="top" wrapText="1"/>
    </xf>
    <xf numFmtId="0" fontId="8" fillId="5" borderId="3" applyAlignment="1" pivotButton="0" quotePrefix="0" xfId="0">
      <alignment horizontal="left" vertical="top" wrapText="1"/>
    </xf>
    <xf numFmtId="0" fontId="11" fillId="27" borderId="3" applyAlignment="1" pivotButton="0" quotePrefix="0" xfId="0">
      <alignment horizontal="left" vertical="top" wrapText="1"/>
    </xf>
    <xf numFmtId="0" fontId="12" fillId="27" borderId="3" applyAlignment="1" pivotButton="0" quotePrefix="0" xfId="0">
      <alignment horizontal="center" vertical="top" wrapText="1"/>
    </xf>
    <xf numFmtId="0" fontId="8" fillId="11" borderId="3" applyAlignment="1" pivotButton="0" quotePrefix="0" xfId="0">
      <alignment horizontal="center" vertical="top" wrapText="1"/>
    </xf>
    <xf numFmtId="0" fontId="15" fillId="27" borderId="3" applyAlignment="1" pivotButton="0" quotePrefix="0" xfId="0">
      <alignment horizontal="left" vertical="top" wrapText="1"/>
    </xf>
    <xf numFmtId="0" fontId="11" fillId="28" borderId="3" applyAlignment="1" pivotButton="0" quotePrefix="0" xfId="0">
      <alignment horizontal="center" vertical="top" wrapText="1"/>
    </xf>
    <xf numFmtId="0" fontId="11" fillId="28" borderId="3" applyAlignment="1" pivotButton="0" quotePrefix="0" xfId="0">
      <alignment horizontal="left" vertical="top" wrapText="1"/>
    </xf>
    <xf numFmtId="0" fontId="12" fillId="28" borderId="3" applyAlignment="1" pivotButton="0" quotePrefix="0" xfId="0">
      <alignment horizontal="center" vertical="top" wrapText="1"/>
    </xf>
    <xf numFmtId="0" fontId="15" fillId="28" borderId="3" applyAlignment="1" pivotButton="0" quotePrefix="0" xfId="0">
      <alignment horizontal="left" vertical="top" wrapText="1"/>
    </xf>
    <xf numFmtId="0" fontId="11" fillId="29" borderId="3" applyAlignment="1" pivotButton="0" quotePrefix="0" xfId="0">
      <alignment horizontal="center" vertical="top" wrapText="1"/>
    </xf>
    <xf numFmtId="0" fontId="8" fillId="30" borderId="3" applyAlignment="1" pivotButton="0" quotePrefix="0" xfId="0">
      <alignment horizontal="left" vertical="top" wrapText="1"/>
    </xf>
    <xf numFmtId="0" fontId="11" fillId="29" borderId="3" applyAlignment="1" pivotButton="0" quotePrefix="0" xfId="0">
      <alignment horizontal="left" vertical="top" wrapText="1"/>
    </xf>
    <xf numFmtId="0" fontId="12" fillId="29" borderId="3" applyAlignment="1" pivotButton="0" quotePrefix="0" xfId="0">
      <alignment horizontal="center" vertical="top" wrapText="1"/>
    </xf>
    <xf numFmtId="0" fontId="15" fillId="29" borderId="3" applyAlignment="1" pivotButton="0" quotePrefix="0" xfId="0">
      <alignment horizontal="left" vertical="top" wrapText="1"/>
    </xf>
    <xf numFmtId="0" fontId="11" fillId="31" borderId="3" applyAlignment="1" pivotButton="0" quotePrefix="0" xfId="0">
      <alignment horizontal="center" vertical="top" wrapText="1"/>
    </xf>
    <xf numFmtId="0" fontId="11" fillId="31" borderId="3" applyAlignment="1" pivotButton="0" quotePrefix="0" xfId="0">
      <alignment horizontal="left" vertical="top" wrapText="1"/>
    </xf>
    <xf numFmtId="0" fontId="12" fillId="31" borderId="3" applyAlignment="1" pivotButton="0" quotePrefix="0" xfId="0">
      <alignment horizontal="center" vertical="top" wrapText="1"/>
    </xf>
    <xf numFmtId="0" fontId="15" fillId="31" borderId="3" applyAlignment="1" pivotButton="0" quotePrefix="0" xfId="0">
      <alignment horizontal="left" vertical="top" wrapText="1"/>
    </xf>
    <xf numFmtId="0" fontId="8" fillId="32" borderId="3" applyAlignment="1" pivotButton="0" quotePrefix="0" xfId="0">
      <alignment horizontal="center" vertical="top" wrapText="1"/>
    </xf>
    <xf numFmtId="0" fontId="11" fillId="16" borderId="3" applyAlignment="1" pivotButton="0" quotePrefix="0" xfId="0">
      <alignment horizontal="center" vertical="top" wrapText="1"/>
    </xf>
    <xf numFmtId="0" fontId="8" fillId="6" borderId="3" applyAlignment="1" pivotButton="0" quotePrefix="0" xfId="0">
      <alignment horizontal="left" vertical="top" wrapText="1"/>
    </xf>
    <xf numFmtId="0" fontId="11" fillId="16" borderId="3" applyAlignment="1" pivotButton="0" quotePrefix="0" xfId="0">
      <alignment horizontal="left" vertical="top" wrapText="1"/>
    </xf>
    <xf numFmtId="0" fontId="12" fillId="16" borderId="3" applyAlignment="1" pivotButton="0" quotePrefix="0" xfId="0">
      <alignment horizontal="center" vertical="top" wrapText="1"/>
    </xf>
    <xf numFmtId="0" fontId="15" fillId="16" borderId="3" applyAlignment="1" pivotButton="0" quotePrefix="0" xfId="0">
      <alignment horizontal="left" vertical="top" wrapText="1"/>
    </xf>
    <xf numFmtId="0" fontId="11" fillId="17" borderId="3" applyAlignment="1" pivotButton="0" quotePrefix="0" xfId="0">
      <alignment horizontal="center" vertical="top" wrapText="1"/>
    </xf>
    <xf numFmtId="0" fontId="11" fillId="17" borderId="3" applyAlignment="1" pivotButton="0" quotePrefix="0" xfId="0">
      <alignment horizontal="left" vertical="top" wrapText="1"/>
    </xf>
    <xf numFmtId="0" fontId="12" fillId="17" borderId="3" applyAlignment="1" pivotButton="0" quotePrefix="0" xfId="0">
      <alignment horizontal="center" vertical="top" wrapText="1"/>
    </xf>
    <xf numFmtId="0" fontId="15" fillId="17" borderId="3" applyAlignment="1" pivotButton="0" quotePrefix="0" xfId="0">
      <alignment horizontal="left" vertical="top" wrapText="1"/>
    </xf>
    <xf numFmtId="0" fontId="11" fillId="33" borderId="3" applyAlignment="1" pivotButton="0" quotePrefix="0" xfId="0">
      <alignment horizontal="center" vertical="top" wrapText="1"/>
    </xf>
    <xf numFmtId="0" fontId="8" fillId="3" borderId="3" applyAlignment="1" pivotButton="0" quotePrefix="0" xfId="0">
      <alignment horizontal="left" vertical="top" wrapText="1"/>
    </xf>
    <xf numFmtId="0" fontId="11" fillId="33" borderId="3" applyAlignment="1" pivotButton="0" quotePrefix="0" xfId="0">
      <alignment horizontal="left" vertical="top" wrapText="1"/>
    </xf>
    <xf numFmtId="0" fontId="12" fillId="33" borderId="3" applyAlignment="1" pivotButton="0" quotePrefix="0" xfId="0">
      <alignment horizontal="center" vertical="top" wrapText="1"/>
    </xf>
    <xf numFmtId="0" fontId="15" fillId="33" borderId="3" applyAlignment="1" pivotButton="0" quotePrefix="0" xfId="0">
      <alignment horizontal="left" vertical="top" wrapText="1"/>
    </xf>
    <xf numFmtId="0" fontId="11" fillId="34" borderId="3" applyAlignment="1" pivotButton="0" quotePrefix="0" xfId="0">
      <alignment horizontal="center" vertical="top" wrapText="1"/>
    </xf>
    <xf numFmtId="0" fontId="11" fillId="34" borderId="3" applyAlignment="1" pivotButton="0" quotePrefix="0" xfId="0">
      <alignment horizontal="left" vertical="top" wrapText="1"/>
    </xf>
    <xf numFmtId="0" fontId="12" fillId="34" borderId="3" applyAlignment="1" pivotButton="0" quotePrefix="0" xfId="0">
      <alignment horizontal="center" vertical="top" wrapText="1"/>
    </xf>
    <xf numFmtId="0" fontId="15" fillId="34" borderId="3" applyAlignment="1" pivotButton="0" quotePrefix="0" xfId="0">
      <alignment horizontal="left" vertical="top" wrapText="1"/>
    </xf>
    <xf numFmtId="0" fontId="8" fillId="2" borderId="3" applyAlignment="1" pivotButton="0" quotePrefix="0" xfId="0">
      <alignment horizontal="left" vertical="top" wrapText="1"/>
    </xf>
    <xf numFmtId="0" fontId="11" fillId="19" borderId="3" applyAlignment="1" pivotButton="0" quotePrefix="0" xfId="0">
      <alignment horizontal="center" vertical="top" wrapText="1"/>
    </xf>
    <xf numFmtId="0" fontId="8" fillId="12" borderId="3" applyAlignment="1" pivotButton="0" quotePrefix="0" xfId="0">
      <alignment horizontal="left" vertical="top" wrapText="1"/>
    </xf>
    <xf numFmtId="0" fontId="11" fillId="19" borderId="3" applyAlignment="1" pivotButton="0" quotePrefix="0" xfId="0">
      <alignment horizontal="left" vertical="top" wrapText="1"/>
    </xf>
    <xf numFmtId="0" fontId="12" fillId="19" borderId="3" applyAlignment="1" pivotButton="0" quotePrefix="0" xfId="0">
      <alignment horizontal="center" vertical="top" wrapText="1"/>
    </xf>
    <xf numFmtId="0" fontId="15" fillId="19" borderId="3" applyAlignment="1" pivotButton="0" quotePrefix="0" xfId="0">
      <alignment horizontal="left" vertical="top" wrapText="1"/>
    </xf>
    <xf numFmtId="0" fontId="11" fillId="18" borderId="3" applyAlignment="1" pivotButton="0" quotePrefix="0" xfId="0">
      <alignment horizontal="center" vertical="top" wrapText="1"/>
    </xf>
    <xf numFmtId="0" fontId="11" fillId="18" borderId="3" applyAlignment="1" pivotButton="0" quotePrefix="0" xfId="0">
      <alignment horizontal="left" vertical="top" wrapText="1"/>
    </xf>
    <xf numFmtId="0" fontId="12" fillId="18" borderId="3" applyAlignment="1" pivotButton="0" quotePrefix="0" xfId="0">
      <alignment horizontal="center" vertical="top" wrapText="1"/>
    </xf>
    <xf numFmtId="0" fontId="15" fillId="18" borderId="3" applyAlignment="1" pivotButton="0" quotePrefix="0" xfId="0">
      <alignment horizontal="left" vertical="top" wrapText="1"/>
    </xf>
    <xf numFmtId="0" fontId="8" fillId="35" borderId="3" applyAlignment="1" pivotButton="0" quotePrefix="0" xfId="0">
      <alignment horizontal="center" vertical="top" wrapText="1"/>
    </xf>
    <xf numFmtId="0" fontId="8" fillId="12" borderId="3" applyAlignment="1" pivotButton="0" quotePrefix="0" xfId="0">
      <alignment horizontal="center" vertical="top" wrapText="1"/>
    </xf>
    <xf numFmtId="0" fontId="11" fillId="21" borderId="3" applyAlignment="1" pivotButton="0" quotePrefix="0" xfId="0">
      <alignment horizontal="center" vertical="top" wrapText="1"/>
    </xf>
    <xf numFmtId="0" fontId="8" fillId="13" borderId="3" applyAlignment="1" pivotButton="0" quotePrefix="0" xfId="0">
      <alignment horizontal="left" vertical="top" wrapText="1"/>
    </xf>
    <xf numFmtId="0" fontId="11" fillId="21" borderId="3" applyAlignment="1" pivotButton="0" quotePrefix="0" xfId="0">
      <alignment horizontal="left" vertical="top" wrapText="1"/>
    </xf>
    <xf numFmtId="0" fontId="12" fillId="21" borderId="3" applyAlignment="1" pivotButton="0" quotePrefix="0" xfId="0">
      <alignment horizontal="center" vertical="top" wrapText="1"/>
    </xf>
    <xf numFmtId="0" fontId="15" fillId="21" borderId="3" applyAlignment="1" pivotButton="0" quotePrefix="0" xfId="0">
      <alignment horizontal="left" vertical="top" wrapText="1"/>
    </xf>
    <xf numFmtId="0" fontId="11" fillId="20" borderId="3" applyAlignment="1" pivotButton="0" quotePrefix="0" xfId="0">
      <alignment horizontal="center" vertical="top" wrapText="1"/>
    </xf>
    <xf numFmtId="0" fontId="11" fillId="20" borderId="3" applyAlignment="1" pivotButton="0" quotePrefix="0" xfId="0">
      <alignment horizontal="left" vertical="top" wrapText="1"/>
    </xf>
    <xf numFmtId="0" fontId="12" fillId="20" borderId="3" applyAlignment="1" pivotButton="0" quotePrefix="0" xfId="0">
      <alignment horizontal="center" vertical="top" wrapText="1"/>
    </xf>
    <xf numFmtId="0" fontId="15" fillId="20" borderId="3" applyAlignment="1" pivotButton="0" quotePrefix="0" xfId="0">
      <alignment horizontal="left" vertical="top" wrapText="1"/>
    </xf>
    <xf numFmtId="0" fontId="8" fillId="36" borderId="3" applyAlignment="1" pivotButton="0" quotePrefix="0" xfId="0">
      <alignment horizontal="left" vertical="top" wrapText="1"/>
    </xf>
    <xf numFmtId="0" fontId="11" fillId="37" borderId="3" applyAlignment="1" pivotButton="0" quotePrefix="0" xfId="0">
      <alignment horizontal="center" vertical="top" wrapText="1"/>
    </xf>
    <xf numFmtId="0" fontId="8" fillId="38" borderId="3" applyAlignment="1" pivotButton="0" quotePrefix="0" xfId="0">
      <alignment horizontal="left" vertical="top" wrapText="1"/>
    </xf>
    <xf numFmtId="0" fontId="11" fillId="37" borderId="3" applyAlignment="1" pivotButton="0" quotePrefix="0" xfId="0">
      <alignment horizontal="left" vertical="top" wrapText="1"/>
    </xf>
    <xf numFmtId="0" fontId="12" fillId="37" borderId="3" applyAlignment="1" pivotButton="0" quotePrefix="0" xfId="0">
      <alignment horizontal="center" vertical="top" wrapText="1"/>
    </xf>
    <xf numFmtId="0" fontId="15" fillId="37" borderId="3" applyAlignment="1" pivotButton="0" quotePrefix="0" xfId="0">
      <alignment horizontal="left" vertical="top" wrapText="1"/>
    </xf>
    <xf numFmtId="0" fontId="11" fillId="39" borderId="3" applyAlignment="1" pivotButton="0" quotePrefix="0" xfId="0">
      <alignment horizontal="center" vertical="top" wrapText="1"/>
    </xf>
    <xf numFmtId="0" fontId="11" fillId="39" borderId="3" applyAlignment="1" pivotButton="0" quotePrefix="0" xfId="0">
      <alignment horizontal="left" vertical="top" wrapText="1"/>
    </xf>
    <xf numFmtId="0" fontId="12" fillId="39" borderId="3" applyAlignment="1" pivotButton="0" quotePrefix="0" xfId="0">
      <alignment horizontal="center" vertical="top" wrapText="1"/>
    </xf>
    <xf numFmtId="0" fontId="15" fillId="39" borderId="3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/>
    </xf>
    <xf numFmtId="0" fontId="12" fillId="40" borderId="2" applyAlignment="1" pivotButton="0" quotePrefix="0" xfId="0">
      <alignment horizontal="left" vertical="top" wrapText="1"/>
    </xf>
    <xf numFmtId="0" fontId="11" fillId="41" borderId="2" applyAlignment="1" pivotButton="0" quotePrefix="0" xfId="0">
      <alignment horizontal="center" vertical="top" wrapText="1"/>
    </xf>
    <xf numFmtId="0" fontId="11" fillId="41" borderId="2" applyAlignment="1" pivotButton="0" quotePrefix="0" xfId="0">
      <alignment horizontal="left" vertical="top" wrapText="1"/>
    </xf>
    <xf numFmtId="0" fontId="0" fillId="42" borderId="2" pivotButton="0" quotePrefix="0" xfId="0"/>
    <xf numFmtId="0" fontId="0" fillId="43" borderId="2" pivotButton="0" quotePrefix="0" xfId="0"/>
    <xf numFmtId="0" fontId="0" fillId="44" borderId="2" pivotButton="0" quotePrefix="0" xfId="0"/>
    <xf numFmtId="0" fontId="0" fillId="45" borderId="2" pivotButton="0" quotePrefix="0" xfId="0"/>
    <xf numFmtId="0" fontId="0" fillId="46" borderId="2" pivotButton="0" quotePrefix="0" xfId="0"/>
    <xf numFmtId="0" fontId="0" fillId="47" borderId="2" pivotButton="0" quotePrefix="0" xfId="0"/>
    <xf numFmtId="0" fontId="0" fillId="48" borderId="2" pivotButton="0" quotePrefix="0" xfId="0"/>
    <xf numFmtId="0" fontId="0" fillId="49" borderId="2" pivotButton="0" quotePrefix="0" xfId="0"/>
    <xf numFmtId="0" fontId="0" fillId="50" borderId="2" pivotButton="0" quotePrefix="0" xfId="0"/>
    <xf numFmtId="0" fontId="0" fillId="51" borderId="2" pivotButton="0" quotePrefix="0" xfId="0"/>
    <xf numFmtId="0" fontId="0" fillId="52" borderId="2" pivotButton="0" quotePrefix="0" xfId="0"/>
    <xf numFmtId="0" fontId="0" fillId="53" borderId="2" pivotButton="0" quotePrefix="0" xfId="0"/>
    <xf numFmtId="0" fontId="0" fillId="54" borderId="2" pivotButton="0" quotePrefix="0" xfId="0"/>
    <xf numFmtId="0" fontId="0" fillId="55" borderId="2" pivotButton="0" quotePrefix="0" xfId="0"/>
    <xf numFmtId="0" fontId="0" fillId="56" borderId="2" pivotButton="0" quotePrefix="0" xfId="0"/>
    <xf numFmtId="0" fontId="0" fillId="57" borderId="2" pivotButton="0" quotePrefix="0" xfId="0"/>
    <xf numFmtId="0" fontId="0" fillId="58" borderId="2" pivotButton="0" quotePrefix="0" xfId="0"/>
    <xf numFmtId="0" fontId="0" fillId="59" borderId="2" pivotButton="0" quotePrefix="0" xfId="0"/>
    <xf numFmtId="0" fontId="0" fillId="60" borderId="2" pivotButton="0" quotePrefix="0" xfId="0"/>
    <xf numFmtId="0" fontId="0" fillId="61" borderId="2" pivotButton="0" quotePrefix="0" xfId="0"/>
    <xf numFmtId="0" fontId="0" fillId="62" borderId="2" pivotButton="0" quotePrefix="0" xfId="0"/>
    <xf numFmtId="0" fontId="0" fillId="63" borderId="2" pivotButton="0" quotePrefix="0" xfId="0"/>
    <xf numFmtId="0" fontId="0" fillId="64" borderId="2" pivotButton="0" quotePrefix="0" xfId="0"/>
    <xf numFmtId="0" fontId="0" fillId="30" borderId="2" pivotButton="0" quotePrefix="0" xfId="0"/>
    <xf numFmtId="0" fontId="0" fillId="31" borderId="2" pivotButton="0" quotePrefix="0" xfId="0"/>
    <xf numFmtId="0" fontId="0" fillId="13" borderId="2" pivotButton="0" quotePrefix="0" xfId="0"/>
    <xf numFmtId="0" fontId="0" fillId="21" borderId="2" pivotButton="0" quotePrefix="0" xfId="0"/>
    <xf numFmtId="0" fontId="0" fillId="12" borderId="2" pivotButton="0" quotePrefix="0" xfId="0"/>
    <xf numFmtId="0" fontId="0" fillId="19" borderId="2" pivotButton="0" quotePrefix="0" xfId="0"/>
    <xf numFmtId="0" fontId="0" fillId="65" borderId="2" pivotButton="0" quotePrefix="0" xfId="0"/>
    <xf numFmtId="0" fontId="0" fillId="66" borderId="2" pivotButton="0" quotePrefix="0" xfId="0"/>
    <xf numFmtId="0" fontId="0" fillId="7" borderId="2" pivotButton="0" quotePrefix="0" xfId="0"/>
    <xf numFmtId="0" fontId="0" fillId="67" borderId="2" pivotButton="0" quotePrefix="0" xfId="0"/>
    <xf numFmtId="0" fontId="0" fillId="10" borderId="2" pivotButton="0" quotePrefix="0" xfId="0"/>
    <xf numFmtId="0" fontId="0" fillId="35" borderId="2" pivotButton="0" quotePrefix="0" xfId="0"/>
    <xf numFmtId="0" fontId="4" fillId="22" borderId="0" applyAlignment="1" pivotButton="0" quotePrefix="0" xfId="0">
      <alignment horizontal="center" vertical="center"/>
    </xf>
    <xf numFmtId="0" fontId="8" fillId="53" borderId="0" applyAlignment="1" pivotButton="0" quotePrefix="0" xfId="0">
      <alignment horizontal="center" vertical="center"/>
    </xf>
    <xf numFmtId="0" fontId="8" fillId="42" borderId="0" applyAlignment="1" pivotButton="0" quotePrefix="0" xfId="0">
      <alignment horizontal="center" vertical="center"/>
    </xf>
    <xf numFmtId="0" fontId="8" fillId="45" borderId="0" applyAlignment="1" pivotButton="0" quotePrefix="0" xfId="0">
      <alignment horizontal="center" vertical="center"/>
    </xf>
    <xf numFmtId="0" fontId="8" fillId="48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6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67" borderId="0" applyAlignment="1" pivotButton="0" quotePrefix="0" xfId="0">
      <alignment horizontal="center" vertical="center"/>
    </xf>
    <xf numFmtId="0" fontId="8" fillId="65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3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 ht="36" customHeight="1">
      <c r="A1" s="1" t="inlineStr">
        <is>
          <t>MAHIS MNID Indicator Evaluation — Summary</t>
        </is>
      </c>
    </row>
    <row r="2">
      <c r="A2" s="2" t="inlineStr">
        <is>
          <t>Cross-reference: MAHIS Frontend concept names vs MAHIS-Reports indicator configuration</t>
        </is>
      </c>
    </row>
    <row r="4">
      <c r="A4" s="3" t="inlineStr">
        <is>
          <t>FEASIBILITY LEGEND</t>
        </is>
      </c>
    </row>
    <row r="5" ht="20" customHeight="1">
      <c r="A5" s="4" t="inlineStr">
        <is>
          <t>WORKS</t>
        </is>
      </c>
      <c r="B5" s="5" t="inlineStr">
        <is>
          <t>Works as-is</t>
        </is>
      </c>
    </row>
    <row r="6" ht="20" customHeight="1">
      <c r="A6" s="6" t="inlineStr">
        <is>
          <t>FIX</t>
        </is>
      </c>
      <c r="B6" s="5" t="inlineStr">
        <is>
          <t>Fixable (name/value correction)</t>
        </is>
      </c>
    </row>
    <row r="7" ht="20" customHeight="1">
      <c r="A7" s="7" t="inlineStr">
        <is>
          <t>COMPLEX</t>
        </is>
      </c>
      <c r="B7" s="5" t="inlineStr">
        <is>
          <t>Complex (composite logic needed)</t>
        </is>
      </c>
    </row>
    <row r="8" ht="20" customHeight="1">
      <c r="A8" s="8" t="inlineStr">
        <is>
          <t>PARTIAL</t>
        </is>
      </c>
      <c r="B8" s="5" t="inlineStr">
        <is>
          <t>Partial (data exists, incomplete)</t>
        </is>
      </c>
    </row>
    <row r="9" ht="20" customHeight="1">
      <c r="A9" s="9" t="inlineStr">
        <is>
          <t>MISSING</t>
        </is>
      </c>
      <c r="B9" s="5" t="inlineStr">
        <is>
          <t>Not possible (concept missing from MAHIS)</t>
        </is>
      </c>
    </row>
    <row r="10" ht="20" customHeight="1">
      <c r="A10" s="10" t="inlineStr">
        <is>
          <t>EXTERNAL</t>
        </is>
      </c>
      <c r="B10" s="5" t="inlineStr">
        <is>
          <t>Requires external/other system</t>
        </is>
      </c>
    </row>
    <row r="13">
      <c r="A13" s="3" t="inlineStr">
        <is>
          <t>INDICATOR COUNT BY FEASIBILITY</t>
        </is>
      </c>
    </row>
    <row r="14" ht="20" customHeight="1">
      <c r="A14" s="6" t="inlineStr">
        <is>
          <t>Fixable (name/value correction)</t>
        </is>
      </c>
      <c r="B14" s="11" t="n">
        <v>9</v>
      </c>
    </row>
    <row r="15" ht="20" customHeight="1">
      <c r="A15" s="7" t="inlineStr">
        <is>
          <t>Complex (composite logic needed)</t>
        </is>
      </c>
      <c r="B15" s="11" t="n">
        <v>4</v>
      </c>
    </row>
    <row r="16" ht="20" customHeight="1">
      <c r="A16" s="9" t="inlineStr">
        <is>
          <t>Not possible (concept missing from MAHIS)</t>
        </is>
      </c>
      <c r="B16" s="11" t="n">
        <v>1</v>
      </c>
    </row>
    <row r="17" ht="20" customHeight="1">
      <c r="A17" s="4" t="inlineStr">
        <is>
          <t>Works as-is</t>
        </is>
      </c>
      <c r="B17" s="11" t="n">
        <v>5</v>
      </c>
    </row>
    <row r="18" ht="20" customHeight="1">
      <c r="A18" s="8" t="inlineStr">
        <is>
          <t>Partial (data exists, incomplete)</t>
        </is>
      </c>
      <c r="B18" s="11" t="n">
        <v>3</v>
      </c>
    </row>
    <row r="19" ht="20" customHeight="1">
      <c r="A19" s="10" t="inlineStr">
        <is>
          <t>Requires external/other system</t>
        </is>
      </c>
      <c r="B19" s="11" t="n">
        <v>2</v>
      </c>
    </row>
    <row r="22">
      <c r="A22" s="3" t="inlineStr">
        <is>
          <t>INDICATOR COUNT BY CATEGORY</t>
        </is>
      </c>
    </row>
    <row r="23" ht="20" customHeight="1">
      <c r="A23" s="12" t="inlineStr">
        <is>
          <t>ANC</t>
        </is>
      </c>
      <c r="B23" s="11" t="n">
        <v>6</v>
      </c>
    </row>
    <row r="24" ht="20" customHeight="1">
      <c r="A24" s="13" t="inlineStr">
        <is>
          <t>Labour</t>
        </is>
      </c>
      <c r="B24" s="11" t="n">
        <v>7</v>
      </c>
    </row>
    <row r="25" ht="20" customHeight="1">
      <c r="A25" s="14" t="inlineStr">
        <is>
          <t>Newborn</t>
        </is>
      </c>
      <c r="B25" s="11" t="n">
        <v>8</v>
      </c>
    </row>
    <row r="26" ht="20" customHeight="1">
      <c r="A26" s="15" t="inlineStr">
        <is>
          <t>PNC</t>
        </is>
      </c>
      <c r="B26" s="11" t="n">
        <v>3</v>
      </c>
    </row>
  </sheetData>
  <mergeCells count="21">
    <mergeCell ref="B9:E9"/>
    <mergeCell ref="B14:D14"/>
    <mergeCell ref="B23:D23"/>
    <mergeCell ref="B6:E6"/>
    <mergeCell ref="B17:D17"/>
    <mergeCell ref="A1:E1"/>
    <mergeCell ref="B5:E5"/>
    <mergeCell ref="B19:D19"/>
    <mergeCell ref="B7:E7"/>
    <mergeCell ref="B15:D15"/>
    <mergeCell ref="B24:D24"/>
    <mergeCell ref="A2:E2"/>
    <mergeCell ref="B26:D26"/>
    <mergeCell ref="B25:D25"/>
    <mergeCell ref="A22:E22"/>
    <mergeCell ref="B16:D16"/>
    <mergeCell ref="A4:E4"/>
    <mergeCell ref="B8:E8"/>
    <mergeCell ref="B18:D18"/>
    <mergeCell ref="A13:E1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4" customWidth="1" min="5" max="5"/>
    <col width="26" customWidth="1" min="6" max="6"/>
    <col width="28" customWidth="1" min="7" max="7"/>
    <col width="28" customWidth="1" min="8" max="8"/>
    <col width="26" customWidth="1" min="9" max="9"/>
    <col width="38" customWidth="1" min="10" max="10"/>
    <col width="24" customWidth="1" min="11" max="11"/>
    <col width="30" customWidth="1" min="12" max="12"/>
    <col width="16" customWidth="1" min="13" max="13"/>
    <col width="55" customWidth="1" min="14" max="14"/>
    <col width="60" customWidth="1" min="15" max="15"/>
    <col width="22" customWidth="1" min="16" max="16"/>
  </cols>
  <sheetData>
    <row r="1" ht="32" customHeight="1">
      <c r="A1" s="16" t="inlineStr">
        <is>
          <t>MAHIS MNID Indicator Cross-Reference — Full Detail</t>
        </is>
      </c>
    </row>
    <row r="2" ht="36" customHeight="1">
      <c r="A2" s="17" t="inlineStr">
        <is>
          <t>Indicator ID</t>
        </is>
      </c>
      <c r="B2" s="17" t="inlineStr">
        <is>
          <t>Category</t>
        </is>
      </c>
      <c r="C2" s="17" t="inlineStr">
        <is>
          <t>Indicator Label</t>
        </is>
      </c>
      <c r="D2" s="17" t="inlineStr">
        <is>
          <t>Target %</t>
        </is>
      </c>
      <c r="E2" s="17" t="inlineStr">
        <is>
          <t>Reports Status</t>
        </is>
      </c>
      <c r="F2" s="17" t="inlineStr">
        <is>
          <t>Reports Concept Name</t>
        </is>
      </c>
      <c r="G2" s="17" t="inlineStr">
        <is>
          <t>Reports Expected Value</t>
        </is>
      </c>
      <c r="H2" s="17" t="inlineStr">
        <is>
          <t>Reports Denominator</t>
        </is>
      </c>
      <c r="I2" s="17" t="inlineStr">
        <is>
          <t>MAHIS Concept Name</t>
        </is>
      </c>
      <c r="J2" s="17" t="inlineStr">
        <is>
          <t>MAHIS Coded Values</t>
        </is>
      </c>
      <c r="K2" s="17" t="inlineStr">
        <is>
          <t>MAHIS Encounter Type</t>
        </is>
      </c>
      <c r="L2" s="17" t="inlineStr">
        <is>
          <t>MAHIS Form / Section</t>
        </is>
      </c>
      <c r="M2" s="17" t="inlineStr">
        <is>
          <t>Feasibility</t>
        </is>
      </c>
      <c r="N2" s="17" t="inlineStr">
        <is>
          <t>Gap / Issue</t>
        </is>
      </c>
      <c r="O2" s="17" t="inlineStr">
        <is>
          <t>Recommendation</t>
        </is>
      </c>
      <c r="P2" s="17" t="inlineStr">
        <is>
          <t>Requires Other System?</t>
        </is>
      </c>
    </row>
    <row r="3" ht="80" customHeight="1">
      <c r="A3" s="18" t="inlineStr">
        <is>
          <t>mnid_anc_001</t>
        </is>
      </c>
      <c r="B3" s="18" t="inlineStr">
        <is>
          <t>ANC</t>
        </is>
      </c>
      <c r="C3" s="18" t="inlineStr">
        <is>
          <t>ANC screened for anaemia</t>
        </is>
      </c>
      <c r="D3" s="19" t="inlineStr">
        <is>
          <t>80%</t>
        </is>
      </c>
      <c r="E3" s="20" t="inlineStr">
        <is>
          <t>tracked</t>
        </is>
      </c>
      <c r="F3" s="18" t="inlineStr">
        <is>
          <t>Anemia screening</t>
        </is>
      </c>
      <c r="G3" s="18" t="inlineStr">
        <is>
          <t>Screened</t>
        </is>
      </c>
      <c r="H3" s="18" t="inlineStr">
        <is>
          <t>concept_name = 'Anemia screening' (any value)</t>
        </is>
      </c>
      <c r="I3" s="18" t="inlineStr">
        <is>
          <t>Hb(g/dL)</t>
        </is>
      </c>
      <c r="J3" s="18" t="inlineStr">
        <is>
          <t>normal range 11-14 g/dL | below normal 10.9 g/d is anemia | Not Done</t>
        </is>
      </c>
      <c r="K3" s="18" t="inlineStr">
        <is>
          <t>ANC VISIT (encounter_type 151)</t>
        </is>
      </c>
      <c r="L3" s="18" t="inlineStr">
        <is>
          <t>ANC &gt; Lab Tests &gt; Lab Investigations</t>
        </is>
      </c>
      <c r="M3" s="21" t="inlineStr">
        <is>
          <t>Fixable (name/value correction)</t>
        </is>
      </c>
      <c r="N3" s="18" t="inlineStr">
        <is>
          <t>Reports looks for 'Anemia screening'='Screened' but MAHIS saves actual result under 'Hb(g/dL)'. Concept name does not exist in MAHIS.</t>
        </is>
      </c>
      <c r="O3" s="18" t="inlineStr">
        <is>
          <t>Change reports numerator to: concept_name='Hb(g/dL)' AND obs_value_coded != 'Not Done'. Denominator: concept_name='Hb(g/dL)'.</t>
        </is>
      </c>
      <c r="P3" s="20" t="inlineStr">
        <is>
          <t>No</t>
        </is>
      </c>
    </row>
    <row r="4" ht="80" customHeight="1">
      <c r="A4" s="22" t="inlineStr">
        <is>
          <t>mnid_anc_002</t>
        </is>
      </c>
      <c r="B4" s="22" t="inlineStr">
        <is>
          <t>ANC</t>
        </is>
      </c>
      <c r="C4" s="22" t="inlineStr">
        <is>
          <t>ANC screened for infection</t>
        </is>
      </c>
      <c r="D4" s="23" t="inlineStr">
        <is>
          <t>80%</t>
        </is>
      </c>
      <c r="E4" s="20" t="inlineStr">
        <is>
          <t>tracked</t>
        </is>
      </c>
      <c r="F4" s="22" t="inlineStr">
        <is>
          <t>Infection screening</t>
        </is>
      </c>
      <c r="G4" s="22" t="inlineStr">
        <is>
          <t>Screened</t>
        </is>
      </c>
      <c r="H4" s="22" t="inlineStr">
        <is>
          <t>concept_name = 'Infection screening' (any value)</t>
        </is>
      </c>
      <c r="I4" s="22" t="inlineStr">
        <is>
          <t>Syphilis Test Result | Hepatitis B</t>
        </is>
      </c>
      <c r="J4" s="22" t="inlineStr">
        <is>
          <t>Syphilis: Positive/Negative/Not Done; Hep B: Positive/Negative/Not Done</t>
        </is>
      </c>
      <c r="K4" s="22" t="inlineStr">
        <is>
          <t>ANC VISIT (encounter_type 151)</t>
        </is>
      </c>
      <c r="L4" s="22" t="inlineStr">
        <is>
          <t>ANC &gt; Lab Tests &gt; Lab Investigations</t>
        </is>
      </c>
      <c r="M4" s="24" t="inlineStr">
        <is>
          <t>Complex (composite logic needed)</t>
        </is>
      </c>
      <c r="N4" s="22" t="inlineStr">
        <is>
          <t>No single 'Infection screening' concept in MAHIS. Infections are tested individually (Syphilis, Hep B). Reports concept does not exist.</t>
        </is>
      </c>
      <c r="O4" s="22" t="inlineStr">
        <is>
          <t>Define composite: person has either 'Syphilis Test Result' != 'Not Done' OR 'Hepatitis B' != 'Not Done' in ANC encounter = screened. Requires multi-concept OR logic.</t>
        </is>
      </c>
      <c r="P4" s="20" t="inlineStr">
        <is>
          <t>No</t>
        </is>
      </c>
    </row>
    <row r="5" ht="80" customHeight="1">
      <c r="A5" s="18" t="inlineStr">
        <is>
          <t>mnid_anc_003</t>
        </is>
      </c>
      <c r="B5" s="18" t="inlineStr">
        <is>
          <t>ANC</t>
        </is>
      </c>
      <c r="C5" s="18" t="inlineStr">
        <is>
          <t>ANC screened for high blood pressure</t>
        </is>
      </c>
      <c r="D5" s="19" t="inlineStr">
        <is>
          <t>80%</t>
        </is>
      </c>
      <c r="E5" s="20" t="inlineStr">
        <is>
          <t>tracked</t>
        </is>
      </c>
      <c r="F5" s="18" t="inlineStr">
        <is>
          <t>High blood pressure screening</t>
        </is>
      </c>
      <c r="G5" s="18" t="inlineStr">
        <is>
          <t>Screened</t>
        </is>
      </c>
      <c r="H5" s="18" t="inlineStr">
        <is>
          <t>concept_name = 'High blood pressure screening' (any value)</t>
        </is>
      </c>
      <c r="I5" s="18" t="inlineStr">
        <is>
          <t>BP | Systolic Pressure* | Diastolic pressure*</t>
        </is>
      </c>
      <c r="J5" s="18" t="inlineStr">
        <is>
          <t>Numeric values (mmHg). Saved as vitals in encounter_type 6 (VITALS).</t>
        </is>
      </c>
      <c r="K5" s="18" t="inlineStr">
        <is>
          <t>VITALS (encounter_type 6) linked to ANC visit</t>
        </is>
      </c>
      <c r="L5" s="18" t="inlineStr">
        <is>
          <t>ANC &gt; Physical Exam &gt; Vitals</t>
        </is>
      </c>
      <c r="M5" s="21" t="inlineStr">
        <is>
          <t>Fixable (name/value correction)</t>
        </is>
      </c>
      <c r="N5" s="18" t="inlineStr">
        <is>
          <t>Reports looks for 'High blood pressure screening'='Screened' but MAHIS saves actual BP numeric values. Concept does not exist. BP is in VITALS encounter, not ANC_VISIT.</t>
        </is>
      </c>
      <c r="O5" s="18" t="inlineStr">
        <is>
          <t>Change reports to: concept_name='Systolic Pressure*' (any numeric value recorded) in Program='ANC'. Presence of BP value = screened. Must query VITALS encounter within ANC program.</t>
        </is>
      </c>
      <c r="P5" s="20" t="inlineStr">
        <is>
          <t>No</t>
        </is>
      </c>
    </row>
    <row r="6" ht="80" customHeight="1">
      <c r="A6" s="22" t="inlineStr">
        <is>
          <t>mnid_anc_004</t>
        </is>
      </c>
      <c r="B6" s="22" t="inlineStr">
        <is>
          <t>ANC</t>
        </is>
      </c>
      <c r="C6" s="22" t="inlineStr">
        <is>
          <t>HIV-tested + screened for anaemia + high BP (composite)</t>
        </is>
      </c>
      <c r="D6" s="23" t="inlineStr">
        <is>
          <t>80%</t>
        </is>
      </c>
      <c r="E6" s="24" t="inlineStr">
        <is>
          <t>awaiting_baseline</t>
        </is>
      </c>
      <c r="F6" s="22" t="inlineStr">
        <is>
          <t>Composite (multi-concept)</t>
        </is>
      </c>
      <c r="G6" s="22" t="inlineStr">
        <is>
          <t>HIV test + Hb + BP all in same ANC visit</t>
        </is>
      </c>
      <c r="H6" s="22" t="inlineStr">
        <is>
          <t>ANC VISIT encounter</t>
        </is>
      </c>
      <c r="I6" s="22" t="inlineStr">
        <is>
          <t>HIV Test | Hb(g/dL) | Systolic Pressure*</t>
        </is>
      </c>
      <c r="J6" s="22" t="inlineStr">
        <is>
          <t>HIV Test: Positive/Negative/Not Done; Hb(g/dL): see above; BP: numeric</t>
        </is>
      </c>
      <c r="K6" s="22" t="inlineStr">
        <is>
          <t>HIV Test &amp; Hb in ANC_VISIT (151); BP in VITALS (6)</t>
        </is>
      </c>
      <c r="L6" s="22" t="inlineStr">
        <is>
          <t>ANC &gt; Lab Tests; ANC &gt; Physical Exam &gt; Vitals</t>
        </is>
      </c>
      <c r="M6" s="24" t="inlineStr">
        <is>
          <t>Complex (composite logic needed)</t>
        </is>
      </c>
      <c r="N6" s="22" t="inlineStr">
        <is>
          <t>Three different concepts across two encounter types (ANC_VISIT and VITALS) must be linked per person per visit date. Complex JOIN logic required.</t>
        </is>
      </c>
      <c r="O6" s="22" t="inlineStr">
        <is>
          <t>Requires custom SQL: for each person+date, check HIV Test != 'Not Done' AND Hb(g/dL) != 'Not Done' AND BP exists in VITALS on same date. Not achievable with simple single-concept filter.</t>
        </is>
      </c>
      <c r="P6" s="20" t="inlineStr">
        <is>
          <t>No</t>
        </is>
      </c>
    </row>
    <row r="7" ht="80" customHeight="1">
      <c r="A7" s="18" t="inlineStr">
        <is>
          <t>mnid_anc_005</t>
        </is>
      </c>
      <c r="B7" s="18" t="inlineStr">
        <is>
          <t>ANC</t>
        </is>
      </c>
      <c r="C7" s="18" t="inlineStr">
        <is>
          <t>POCUS with gestational age recorded</t>
        </is>
      </c>
      <c r="D7" s="19" t="inlineStr">
        <is>
          <t>50%</t>
        </is>
      </c>
      <c r="E7" s="20" t="inlineStr">
        <is>
          <t>tracked</t>
        </is>
      </c>
      <c r="F7" s="18" t="inlineStr">
        <is>
          <t>POCUS completed</t>
        </is>
      </c>
      <c r="G7" s="18" t="inlineStr">
        <is>
          <t>Yes</t>
        </is>
      </c>
      <c r="H7" s="18" t="inlineStr">
        <is>
          <t>concept_name = 'POCUS completed' (any value)</t>
        </is>
      </c>
      <c r="I7" s="18" t="inlineStr">
        <is>
          <t>Ultrasound scan status</t>
        </is>
      </c>
      <c r="J7" s="18" t="inlineStr">
        <is>
          <t>Ultrasound scan conducted | Ultrasound scan not done</t>
        </is>
      </c>
      <c r="K7" s="18" t="inlineStr">
        <is>
          <t>ANC VISIT (encounter_type 151)</t>
        </is>
      </c>
      <c r="L7" s="18" t="inlineStr">
        <is>
          <t>ANC &gt; Lab Tests &gt; Ultrasound</t>
        </is>
      </c>
      <c r="M7" s="21" t="inlineStr">
        <is>
          <t>Fixable (name/value correction)</t>
        </is>
      </c>
      <c r="N7" s="18" t="inlineStr">
        <is>
          <t>Reports uses 'POCUS completed'='Yes' but MAHIS saves 'Ultrasound scan status'='Ultrasound scan conducted'. Different concept name and value.</t>
        </is>
      </c>
      <c r="O7" s="18" t="inlineStr">
        <is>
          <t>Change reports to: concept_name='Ultrasound scan status' AND obs_value_coded='Ultrasound scan conducted'. Denominator: same concept any value.</t>
        </is>
      </c>
      <c r="P7" s="20" t="inlineStr">
        <is>
          <t>No</t>
        </is>
      </c>
    </row>
    <row r="8" ht="80" customHeight="1">
      <c r="A8" s="22" t="inlineStr">
        <is>
          <t>mnid_anc_006</t>
        </is>
      </c>
      <c r="B8" s="22" t="inlineStr">
        <is>
          <t>ANC</t>
        </is>
      </c>
      <c r="C8" s="22" t="inlineStr">
        <is>
          <t>ANC 2+ tetanus doses</t>
        </is>
      </c>
      <c r="D8" s="23" t="inlineStr">
        <is>
          <t>80%</t>
        </is>
      </c>
      <c r="E8" s="20" t="inlineStr">
        <is>
          <t>tracked</t>
        </is>
      </c>
      <c r="F8" s="22" t="inlineStr">
        <is>
          <t>Number of tetanus doses</t>
        </is>
      </c>
      <c r="G8" s="22" t="inlineStr">
        <is>
          <t>two doses | three doses | four doses</t>
        </is>
      </c>
      <c r="H8" s="22" t="inlineStr">
        <is>
          <t>Encounter = 'ANC VISIT'</t>
        </is>
      </c>
      <c r="I8" s="22" t="inlineStr">
        <is>
          <t>TDV</t>
        </is>
      </c>
      <c r="J8" s="22" t="inlineStr">
        <is>
          <t>Yes | No (per-visit recording only)</t>
        </is>
      </c>
      <c r="K8" s="22" t="inlineStr">
        <is>
          <t>Treatment encounter (encounter_type 25)</t>
        </is>
      </c>
      <c r="L8" s="22" t="inlineStr">
        <is>
          <t>ANC &gt; Diagnosis &amp; Treatment &gt; Immunization</t>
        </is>
      </c>
      <c r="M8" s="24" t="inlineStr">
        <is>
          <t>Complex (composite logic needed)</t>
        </is>
      </c>
      <c r="N8" s="22" t="inlineStr">
        <is>
          <t>Reports expects cumulative 'Number of tetanus doses' concept which does NOT exist in MAHIS. MAHIS only records Yes/No per visit. To compute 2+ doses you must count visits where TDV='Yes' per patient across multiple encounters.</t>
        </is>
      </c>
      <c r="O8" s="22" t="inlineStr">
        <is>
          <t>Requires aggregation: COUNT(encounters WHERE concept_name='TDV' AND value='Yes') per person &gt;= 2. Cannot be resolved with a simple filter. Consider adding a cumulative 'TDV dose count' concept to MAHIS, or implement custom aggregation in reports.</t>
        </is>
      </c>
      <c r="P8" s="20" t="inlineStr">
        <is>
          <t>No — but requires schema change or custom aggregation</t>
        </is>
      </c>
    </row>
    <row r="9" ht="80" customHeight="1">
      <c r="A9" s="25" t="inlineStr">
        <is>
          <t>mnid_lab_001</t>
        </is>
      </c>
      <c r="B9" s="25" t="inlineStr">
        <is>
          <t>Labour</t>
        </is>
      </c>
      <c r="C9" s="25" t="inlineStr">
        <is>
          <t>Quality intrapartum care per guidelines</t>
        </is>
      </c>
      <c r="D9" s="26" t="inlineStr">
        <is>
          <t>80%</t>
        </is>
      </c>
      <c r="E9" s="24" t="inlineStr">
        <is>
          <t>awaiting_baseline</t>
        </is>
      </c>
      <c r="F9" s="25" t="inlineStr">
        <is>
          <t>Composite (PPH + Sepsis + Eclampsia + Obstructed Labour)</t>
        </is>
      </c>
      <c r="G9" s="25" t="inlineStr">
        <is>
          <t>All complications managed per protocol</t>
        </is>
      </c>
      <c r="H9" s="25" t="inlineStr">
        <is>
          <t>All labour encounters</t>
        </is>
      </c>
      <c r="I9" s="25" t="inlineStr">
        <is>
          <t>Obstetric complications | Obstetric care provided</t>
        </is>
      </c>
      <c r="J9" s="25" t="inlineStr">
        <is>
          <t>Complications: antepartum haemorrhage, post partum Haemorrhage, obstructed/Prolonged labour, preterm labour, (pre-) eclampsia, sepsis, ruptured uterus...
Care provided: oxytocin, cabitocin, tranexamic acid, misoprostol, anticonvulsants, antibiotics, antenatal corticosteroids, blood transfusion, MRP, NASG...</t>
        </is>
      </c>
      <c r="K9" s="25" t="inlineStr">
        <is>
          <t>Labour &amp; Delivery (encounter_type 205/219)</t>
        </is>
      </c>
      <c r="L9" s="25" t="inlineStr">
        <is>
          <t>LABOUR &gt; Continuous Monitoring &gt; Obstetric Care</t>
        </is>
      </c>
      <c r="M9" s="24" t="inlineStr">
        <is>
          <t>Complex (composite logic needed)</t>
        </is>
      </c>
      <c r="N9" s="25" t="inlineStr">
        <is>
          <t>No single concept captures 'guidelines followed'. Must link: if PPH then oxytocin/misoprostol given; if Eclampsia then anticonvulsants given; if Sepsis then antibiotics given; etc. Requires multi-row JOIN across complications and care provided for same encounter.</t>
        </is>
      </c>
      <c r="O9" s="25" t="inlineStr">
        <is>
          <t>Implement composite logic: for each labour encounter, check if ALL detected complications have corresponding appropriate care. E.g., sepsis→antibiotics, eclampsia→anticonvulsants, PPH→uterotonics. Use 'Obstetric complications' + 'Obstetric care provided' concept pair.</t>
        </is>
      </c>
      <c r="P9" s="20" t="inlineStr">
        <is>
          <t>No — data exists in MAHIS but requires complex composite logic</t>
        </is>
      </c>
    </row>
    <row r="10" ht="80" customHeight="1">
      <c r="A10" s="27" t="inlineStr">
        <is>
          <t>mnid_lab_002</t>
        </is>
      </c>
      <c r="B10" s="27" t="inlineStr">
        <is>
          <t>Labour</t>
        </is>
      </c>
      <c r="C10" s="27" t="inlineStr">
        <is>
          <t>Digital intrapartum monitoring (partograph use)</t>
        </is>
      </c>
      <c r="D10" s="28" t="inlineStr">
        <is>
          <t>70%</t>
        </is>
      </c>
      <c r="E10" s="20" t="inlineStr">
        <is>
          <t>tracked</t>
        </is>
      </c>
      <c r="F10" s="27" t="inlineStr">
        <is>
          <t>Digital intrapartum monitoring</t>
        </is>
      </c>
      <c r="G10" s="27" t="inlineStr">
        <is>
          <t>Used</t>
        </is>
      </c>
      <c r="H10" s="27" t="inlineStr">
        <is>
          <t>concept_name = 'Digital intrapartum monitoring' (any value)</t>
        </is>
      </c>
      <c r="I10" s="27" t="inlineStr">
        <is>
          <t>Was a partograph used</t>
        </is>
      </c>
      <c r="J10" s="27" t="inlineStr">
        <is>
          <t>Yes | No</t>
        </is>
      </c>
      <c r="K10" s="27" t="inlineStr">
        <is>
          <t>Summary of Labour encounter</t>
        </is>
      </c>
      <c r="L10" s="27" t="inlineStr">
        <is>
          <t>LABOUR &gt; Summary of Labour</t>
        </is>
      </c>
      <c r="M10" s="21" t="inlineStr">
        <is>
          <t>Fixable (name/value correction)</t>
        </is>
      </c>
      <c r="N10" s="27" t="inlineStr">
        <is>
          <t>Reports uses 'Digital intrapartum monitoring'='Used' but MAHIS saves 'Was a partograph used'='Yes'. Neither concept name nor coded value match.</t>
        </is>
      </c>
      <c r="O10" s="27" t="inlineStr">
        <is>
          <t>Change reports to: concept_name='Was a partograph used' AND obs_value_coded='Yes'. Denominator: concept_name='Was a partograph used' (any value).</t>
        </is>
      </c>
      <c r="P10" s="20" t="inlineStr">
        <is>
          <t>No</t>
        </is>
      </c>
    </row>
    <row r="11" ht="80" customHeight="1">
      <c r="A11" s="25" t="inlineStr">
        <is>
          <t>mnid_lab_003</t>
        </is>
      </c>
      <c r="B11" s="25" t="inlineStr">
        <is>
          <t>Labour</t>
        </is>
      </c>
      <c r="C11" s="25" t="inlineStr">
        <is>
          <t>Antenatal corticosteroids (pre-term labour)</t>
        </is>
      </c>
      <c r="D11" s="26" t="inlineStr">
        <is>
          <t>70%</t>
        </is>
      </c>
      <c r="E11" s="20" t="inlineStr">
        <is>
          <t>tracked</t>
        </is>
      </c>
      <c r="F11" s="25" t="inlineStr">
        <is>
          <t>Antenatal corticosteroids given</t>
        </is>
      </c>
      <c r="G11" s="25" t="inlineStr">
        <is>
          <t>Yes</t>
        </is>
      </c>
      <c r="H11" s="25" t="inlineStr">
        <is>
          <t>concept_name = 'Antenatal corticosteroids given' value IN [Yes, No]</t>
        </is>
      </c>
      <c r="I11" s="25" t="inlineStr">
        <is>
          <t>Corticosteroids given</t>
        </is>
      </c>
      <c r="J11" s="25" t="inlineStr">
        <is>
          <t>yes | no  (lowercase)</t>
        </is>
      </c>
      <c r="K11" s="25" t="inlineStr">
        <is>
          <t>Labour Assessment / Continuous Monitoring</t>
        </is>
      </c>
      <c r="L11" s="25" t="inlineStr">
        <is>
          <t>LABOUR &gt; Continuous Monitoring &gt; Progress of Labour</t>
        </is>
      </c>
      <c r="M11" s="21" t="inlineStr">
        <is>
          <t>Fixable (name/value correction)</t>
        </is>
      </c>
      <c r="N11" s="25" t="inlineStr">
        <is>
          <t>Reports uses 'Antenatal corticosteroids given'='Yes' but MAHIS saves 'Corticosteroids given'='yes' (lowercase). Name and casing differ. Also denominator should ideally filter gestational age &lt; 37wks (data exists as 'Gestation weeks' in MAHIS).</t>
        </is>
      </c>
      <c r="O11" s="25" t="inlineStr">
        <is>
          <t>Change reports to: concept_name='Corticosteroids given' AND obs_value_coded IN ['yes','Yes'] (case-insensitive). Denominator: same concept any value. For refined accuracy, add gestational age &lt; 37 filter using 'Gestation weeks' concept.</t>
        </is>
      </c>
      <c r="P11" s="20" t="inlineStr">
        <is>
          <t>No</t>
        </is>
      </c>
    </row>
    <row r="12" ht="80" customHeight="1">
      <c r="A12" s="27" t="inlineStr">
        <is>
          <t>mnid_lab_004</t>
        </is>
      </c>
      <c r="B12" s="27" t="inlineStr">
        <is>
          <t>Labour</t>
        </is>
      </c>
      <c r="C12" s="27" t="inlineStr">
        <is>
          <t>Prophylactic azithromycin in labour</t>
        </is>
      </c>
      <c r="D12" s="28" t="inlineStr">
        <is>
          <t>50%</t>
        </is>
      </c>
      <c r="E12" s="20" t="inlineStr">
        <is>
          <t>tracked</t>
        </is>
      </c>
      <c r="F12" s="27" t="inlineStr">
        <is>
          <t>Prophylactic azithromycin given</t>
        </is>
      </c>
      <c r="G12" s="27" t="inlineStr">
        <is>
          <t>Yes</t>
        </is>
      </c>
      <c r="H12" s="27" t="inlineStr">
        <is>
          <t>concept_name = 'Prophylactic azithromycin given' (any value)</t>
        </is>
      </c>
      <c r="I12" s="27" t="inlineStr">
        <is>
          <t>NOT FOUND</t>
        </is>
      </c>
      <c r="J12" s="27" t="inlineStr">
        <is>
          <t>N/A — concept does not appear to exist in MAHIS</t>
        </is>
      </c>
      <c r="K12" s="27" t="inlineStr">
        <is>
          <t>N/A</t>
        </is>
      </c>
      <c r="L12" s="27" t="inlineStr">
        <is>
          <t>N/A — not in any Labour form</t>
        </is>
      </c>
      <c r="M12" s="29" t="inlineStr">
        <is>
          <t>Not possible (concept missing from MAHIS)</t>
        </is>
      </c>
      <c r="N12" s="27" t="inlineStr">
        <is>
          <t>Concept 'Prophylactic azithromycin given' does not exist in MAHIS. Not captured in any Labour form. Also noted as 'Awaiting Malawi guideline adoption' in reports documentation.</t>
        </is>
      </c>
      <c r="O12" s="27" t="inlineStr">
        <is>
          <t>1) Confirm whether azithromycin prophylaxis in labour is a current Malawi MoH guideline.
2) If yes, add concept 'Prophylactic azithromycin given' (Yes/No) to MAHIS Labour form.
3) Once confirmed in OpenMRS, activate indicator in reports.
Currently cannot produce meaningful data from MAHIS.</t>
        </is>
      </c>
      <c r="P12" s="20" t="inlineStr">
        <is>
          <t>No — but concept must be added to MAHIS Labour form</t>
        </is>
      </c>
    </row>
    <row r="13" ht="80" customHeight="1">
      <c r="A13" s="25" t="inlineStr">
        <is>
          <t>mnid_lab_005</t>
        </is>
      </c>
      <c r="B13" s="25" t="inlineStr">
        <is>
          <t>Labour</t>
        </is>
      </c>
      <c r="C13" s="25" t="inlineStr">
        <is>
          <t>PPH early detection + WHO E-MOTIVE treatment bundle</t>
        </is>
      </c>
      <c r="D13" s="26" t="inlineStr">
        <is>
          <t>70%</t>
        </is>
      </c>
      <c r="E13" s="20" t="inlineStr">
        <is>
          <t>tracked</t>
        </is>
      </c>
      <c r="F13" s="25" t="inlineStr">
        <is>
          <t>PPH treatment bundle</t>
        </is>
      </c>
      <c r="G13" s="25" t="inlineStr">
        <is>
          <t>Completed</t>
        </is>
      </c>
      <c r="H13" s="25" t="inlineStr">
        <is>
          <t>concept_name = 'PPH treatment bundle' value IN [Completed, Partial]</t>
        </is>
      </c>
      <c r="I13" s="25" t="inlineStr">
        <is>
          <t>Was E-MOTIVE bundle used | Misoprostol (400/600mcg orally) | Oxytocin 10 IU given | Uterine Massage</t>
        </is>
      </c>
      <c r="J13" s="25" t="inlineStr">
        <is>
          <t>Was E-MOTIVE bundle used: Yes/No; Individual components also recorded</t>
        </is>
      </c>
      <c r="K13" s="25" t="inlineStr">
        <is>
          <t>Labour &amp; Delivery encounter</t>
        </is>
      </c>
      <c r="L13" s="25" t="inlineStr">
        <is>
          <t>LABOUR &gt; Labour Details / Second Stage</t>
        </is>
      </c>
      <c r="M13" s="21" t="inlineStr">
        <is>
          <t>Fixable (name/value correction)</t>
        </is>
      </c>
      <c r="N13" s="25" t="inlineStr">
        <is>
          <t>Reports uses 'PPH treatment bundle'='Completed' but MAHIS has 'Was E-MOTIVE bundle used' (Yes/No). Concept name differs; the MAHIS E-MOTIVE concept covers the same clinical intent.</t>
        </is>
      </c>
      <c r="O13" s="25" t="inlineStr">
        <is>
          <t>Change reports to: concept_name='Was E-MOTIVE bundle used' AND obs_value_coded='Yes'. Denominator: same concept any value. Alternatively use composite of individual components (Oxytocin + Misoprostol + Uterine Massage all present).</t>
        </is>
      </c>
      <c r="P13" s="20" t="inlineStr">
        <is>
          <t>No</t>
        </is>
      </c>
    </row>
    <row r="14" ht="80" customHeight="1">
      <c r="A14" s="27" t="inlineStr">
        <is>
          <t>mnid_lab_006</t>
        </is>
      </c>
      <c r="B14" s="27" t="inlineStr">
        <is>
          <t>Labour</t>
        </is>
      </c>
      <c r="C14" s="27" t="inlineStr">
        <is>
          <t>Facility deliveries</t>
        </is>
      </c>
      <c r="D14" s="28" t="inlineStr">
        <is>
          <t>80%</t>
        </is>
      </c>
      <c r="E14" s="20" t="inlineStr">
        <is>
          <t>tracked</t>
        </is>
      </c>
      <c r="F14" s="27" t="inlineStr">
        <is>
          <t>Place of delivery</t>
        </is>
      </c>
      <c r="G14" s="27" t="inlineStr">
        <is>
          <t>This facility | this facility</t>
        </is>
      </c>
      <c r="H14" s="27" t="inlineStr">
        <is>
          <t>concept_name = 'Place of delivery' (any value)</t>
        </is>
      </c>
      <c r="I14" s="27" t="inlineStr">
        <is>
          <t>Place of delivery</t>
        </is>
      </c>
      <c r="J14" s="27" t="inlineStr">
        <is>
          <t>This facility | Other facility | Home | In transit | Other</t>
        </is>
      </c>
      <c r="K14" s="27" t="inlineStr">
        <is>
          <t>ANC Pregnant Outcome / Labour Delivery Details</t>
        </is>
      </c>
      <c r="L14" s="27" t="inlineStr">
        <is>
          <t>ANC &gt; Pregnant Outcome form; LABOUR &gt; Delivery Details</t>
        </is>
      </c>
      <c r="M14" s="30" t="inlineStr">
        <is>
          <t>Works as-is</t>
        </is>
      </c>
      <c r="N14" s="27" t="inlineStr">
        <is>
          <t>Concept name matches exactly. Values should match if 'This facility' is a valid option in MAHIS (verify casing — both 'This facility' and 'this facility' are handled in reports).</t>
        </is>
      </c>
      <c r="O14" s="27" t="inlineStr">
        <is>
          <t>No change needed. Verify 'Place of delivery' coded values in MAHIS match 'This facility' exactly (check case). Both ANC outcome and Labour delivery details forms use this concept.</t>
        </is>
      </c>
      <c r="P14" s="20" t="inlineStr">
        <is>
          <t>No</t>
        </is>
      </c>
    </row>
    <row r="15" ht="80" customHeight="1">
      <c r="A15" s="25" t="inlineStr">
        <is>
          <t>mnid_lab_007</t>
        </is>
      </c>
      <c r="B15" s="25" t="inlineStr">
        <is>
          <t>Labour</t>
        </is>
      </c>
      <c r="C15" s="25" t="inlineStr">
        <is>
          <t>Skilled delivery attendance</t>
        </is>
      </c>
      <c r="D15" s="26" t="inlineStr">
        <is>
          <t>80%</t>
        </is>
      </c>
      <c r="E15" s="20" t="inlineStr">
        <is>
          <t>tracked</t>
        </is>
      </c>
      <c r="F15" s="25" t="inlineStr">
        <is>
          <t>Staff conducting delivery</t>
        </is>
      </c>
      <c r="G15" s="25" t="inlineStr">
        <is>
          <t>(any value present = skilled attendant recorded)</t>
        </is>
      </c>
      <c r="H15" s="25" t="inlineStr">
        <is>
          <t>concept_name = 'Mode of delivery' (any value)</t>
        </is>
      </c>
      <c r="I15" s="25" t="inlineStr">
        <is>
          <t>Staff conducting delivery</t>
        </is>
      </c>
      <c r="J15" s="25" t="inlineStr">
        <is>
          <t>Various staff types (clinician, nurse, midwife, etc.)</t>
        </is>
      </c>
      <c r="K15" s="25" t="inlineStr">
        <is>
          <t>Labour &amp; Delivery encounter</t>
        </is>
      </c>
      <c r="L15" s="25" t="inlineStr">
        <is>
          <t>LABOUR &gt; Delivery Details</t>
        </is>
      </c>
      <c r="M15" s="30" t="inlineStr">
        <is>
          <t>Works as-is</t>
        </is>
      </c>
      <c r="N15" s="25" t="inlineStr">
        <is>
          <t>Concept name matches exactly. Denominator uses 'Mode of delivery' which also exists in MAHIS. This indicator should work.</t>
        </is>
      </c>
      <c r="O15" s="25" t="inlineStr">
        <is>
          <t>No change needed. Verify that 'Staff conducting delivery' concept is consistently populated for all deliveries.</t>
        </is>
      </c>
      <c r="P15" s="20" t="inlineStr">
        <is>
          <t>No</t>
        </is>
      </c>
    </row>
    <row r="16" ht="80" customHeight="1">
      <c r="A16" s="31" t="inlineStr">
        <is>
          <t>mnid_nb_001</t>
        </is>
      </c>
      <c r="B16" s="31" t="inlineStr">
        <is>
          <t>Newborn</t>
        </is>
      </c>
      <c r="C16" s="31" t="inlineStr">
        <is>
          <t>Neonatal resuscitation (eligible babies)</t>
        </is>
      </c>
      <c r="D16" s="32" t="inlineStr">
        <is>
          <t>80%</t>
        </is>
      </c>
      <c r="E16" s="20" t="inlineStr">
        <is>
          <t>tracked</t>
        </is>
      </c>
      <c r="F16" s="31" t="inlineStr">
        <is>
          <t>Neonatal resuscitation provided</t>
        </is>
      </c>
      <c r="G16" s="31" t="inlineStr">
        <is>
          <t>Yes | Stimulation only | Bag and mask</t>
        </is>
      </c>
      <c r="H16" s="31" t="inlineStr">
        <is>
          <t>concept_name='Eligible for neonatal resuscitation'='Yes'</t>
        </is>
      </c>
      <c r="I16" s="31" t="inlineStr">
        <is>
          <t>Management given to newborn</t>
        </is>
      </c>
      <c r="J16" s="31" t="inlineStr">
        <is>
          <t>None | Routine newborn care | Kangaroo mother care | Antibiotics | Resuscitation | Oxygen Therapy | Photo Therapy | CPAP | Other</t>
        </is>
      </c>
      <c r="K16" s="31" t="inlineStr">
        <is>
          <t>Labour &amp; Delivery / Newborn Details</t>
        </is>
      </c>
      <c r="L16" s="31" t="inlineStr">
        <is>
          <t>LABOUR &gt; Labour Details &gt; Newborn Details</t>
        </is>
      </c>
      <c r="M16" s="21" t="inlineStr">
        <is>
          <t>Fixable (name/value correction)</t>
        </is>
      </c>
      <c r="N16" s="31" t="inlineStr">
        <is>
          <t>Reports expects 'Neonatal resuscitation provided' and 'Eligible for neonatal resuscitation' concepts — neither exists in MAHIS. MAHIS uses 'Management given to newborn'='Resuscitation' (no Yes/Stimulation/Bag-mask breakdown). Eligibility concept also absent.</t>
        </is>
      </c>
      <c r="O16" s="31" t="inlineStr">
        <is>
          <t>For basic tracking: concept_name='Management given to newborn' AND obs_value_coded='Resuscitation'. For denominator, use babies with 'Baby general condition at birth' != 'Good' OR birth APGAR &lt; threshold. Note: resuscitation type detail (stimulation only vs bag-mask) not captured in MAHIS.</t>
        </is>
      </c>
      <c r="P16" s="20" t="inlineStr">
        <is>
          <t>No — but resuscitation type detail is not captured in MAHIS</t>
        </is>
      </c>
    </row>
    <row r="17" ht="80" customHeight="1">
      <c r="A17" s="33" t="inlineStr">
        <is>
          <t>mnid_nb_002</t>
        </is>
      </c>
      <c r="B17" s="33" t="inlineStr">
        <is>
          <t>Newborn</t>
        </is>
      </c>
      <c r="C17" s="33" t="inlineStr">
        <is>
          <t>iKMC (preterm / low birth-weight babies)</t>
        </is>
      </c>
      <c r="D17" s="34" t="inlineStr">
        <is>
          <t>80%</t>
        </is>
      </c>
      <c r="E17" s="20" t="inlineStr">
        <is>
          <t>tracked</t>
        </is>
      </c>
      <c r="F17" s="33" t="inlineStr">
        <is>
          <t>iKMC initiated</t>
        </is>
      </c>
      <c r="G17" s="33" t="inlineStr">
        <is>
          <t>Yes</t>
        </is>
      </c>
      <c r="H17" s="33" t="inlineStr">
        <is>
          <t>concept_name='iKMC initiated' value IN [Yes, No]</t>
        </is>
      </c>
      <c r="I17" s="33" t="inlineStr">
        <is>
          <t>Management given to newborn</t>
        </is>
      </c>
      <c r="J17" s="33" t="inlineStr">
        <is>
          <t>Kangaroo mother care (among others)</t>
        </is>
      </c>
      <c r="K17" s="33" t="inlineStr">
        <is>
          <t>Labour &amp; Delivery / Newborn Details</t>
        </is>
      </c>
      <c r="L17" s="33" t="inlineStr">
        <is>
          <t>LABOUR &gt; Labour Details &gt; Newborn Details</t>
        </is>
      </c>
      <c r="M17" s="21" t="inlineStr">
        <is>
          <t>Fixable (name/value correction)</t>
        </is>
      </c>
      <c r="N17" s="33" t="inlineStr">
        <is>
          <t>Reports uses 'iKMC initiated'='Yes' but MAHIS has no such concept. KMC is captured as 'Management given to newborn'='Kangaroo mother care'. Denominator (preterm/LBW) not explicit but 'Baby Birthweight' and gestational age data exist.</t>
        </is>
      </c>
      <c r="O17" s="33" t="inlineStr">
        <is>
          <t>Change to: concept_name='Management given to newborn' AND obs_value_coded='Kangaroo mother care'. Denominator: babies with 'Baby Birthweight' &lt; 2500g OR 'Gestation weeks' &lt; 37. Requires weight/GA filter join.</t>
        </is>
      </c>
      <c r="P17" s="20" t="inlineStr">
        <is>
          <t>No</t>
        </is>
      </c>
    </row>
    <row r="18" ht="80" customHeight="1">
      <c r="A18" s="31" t="inlineStr">
        <is>
          <t>mnid_nb_003</t>
        </is>
      </c>
      <c r="B18" s="31" t="inlineStr">
        <is>
          <t>Newborn</t>
        </is>
      </c>
      <c r="C18" s="31" t="inlineStr">
        <is>
          <t>Prophylactic CPAP (1000–1499g babies)</t>
        </is>
      </c>
      <c r="D18" s="32" t="inlineStr">
        <is>
          <t>80%</t>
        </is>
      </c>
      <c r="E18" s="20" t="inlineStr">
        <is>
          <t>tracked</t>
        </is>
      </c>
      <c r="F18" s="31" t="inlineStr">
        <is>
          <t>CPAP support</t>
        </is>
      </c>
      <c r="G18" s="31" t="inlineStr">
        <is>
          <t>Bubble CPAP | Nasal oxygen</t>
        </is>
      </c>
      <c r="H18" s="31" t="inlineStr">
        <is>
          <t>concept_name = 'CPAP support' (any value)</t>
        </is>
      </c>
      <c r="I18" s="31" t="inlineStr">
        <is>
          <t>Management given to newborn</t>
        </is>
      </c>
      <c r="J18" s="31" t="inlineStr">
        <is>
          <t>CPAP(Continuous Positive  Airway Pressure) (among others)</t>
        </is>
      </c>
      <c r="K18" s="31" t="inlineStr">
        <is>
          <t>Labour &amp; Delivery / Newborn Details</t>
        </is>
      </c>
      <c r="L18" s="31" t="inlineStr">
        <is>
          <t>LABOUR &gt; Labour Details &gt; Newborn Details</t>
        </is>
      </c>
      <c r="M18" s="35" t="inlineStr">
        <is>
          <t>Partial (data exists, incomplete)</t>
        </is>
      </c>
      <c r="N18" s="31" t="inlineStr">
        <is>
          <t>Reports uses 'CPAP support' concept with type breakdown (Bubble CPAP/Nasal O2) — neither exists. MAHIS only has 'Management given to newborn'='CPAP...' with no type detail. Birth weight band filter (1000–1499g) requires joining 'Baby Birthweight' numeric.</t>
        </is>
      </c>
      <c r="O18" s="31" t="inlineStr">
        <is>
          <t>Basic CPAP tracking: concept_name='Management given to newborn' AND obs_value_coded LIKE '%CPAP%'. Weight band 1000–1499g: add filter on 'Baby Birthweight' numeric value. CPAP type (Bubble vs Nasal) is not captured — partial coverage only.</t>
        </is>
      </c>
      <c r="P18" s="20" t="inlineStr">
        <is>
          <t>No — but CPAP type detail and birth weight band logic are limitations</t>
        </is>
      </c>
    </row>
    <row r="19" ht="80" customHeight="1">
      <c r="A19" s="33" t="inlineStr">
        <is>
          <t>mnid_nb_004</t>
        </is>
      </c>
      <c r="B19" s="33" t="inlineStr">
        <is>
          <t>Newborn</t>
        </is>
      </c>
      <c r="C19" s="33" t="inlineStr">
        <is>
          <t>CPAP for eligible babies (1500–1999g)</t>
        </is>
      </c>
      <c r="D19" s="34" t="inlineStr">
        <is>
          <t>80%</t>
        </is>
      </c>
      <c r="E19" s="24" t="inlineStr">
        <is>
          <t>awaiting_baseline</t>
        </is>
      </c>
      <c r="F19" s="33" t="inlineStr">
        <is>
          <t>CPAP support</t>
        </is>
      </c>
      <c r="G19" s="33" t="inlineStr">
        <is>
          <t>Bubble CPAP | Nasal oxygen</t>
        </is>
      </c>
      <c r="H19" s="33" t="inlineStr">
        <is>
          <t>Birth weight 1500–1999g cohort</t>
        </is>
      </c>
      <c r="I19" s="33" t="inlineStr">
        <is>
          <t>Management given to newborn | Baby Birthweight</t>
        </is>
      </c>
      <c r="J19" s="33" t="inlineStr">
        <is>
          <t>CPAP(Continuous Positive Airway Pressure) | numeric weight (kg)</t>
        </is>
      </c>
      <c r="K19" s="33" t="inlineStr">
        <is>
          <t>Labour &amp; Delivery / Newborn Details</t>
        </is>
      </c>
      <c r="L19" s="33" t="inlineStr">
        <is>
          <t>LABOUR &gt; Labour Details &gt; Newborn Details</t>
        </is>
      </c>
      <c r="M19" s="35" t="inlineStr">
        <is>
          <t>Partial (data exists, incomplete)</t>
        </is>
      </c>
      <c r="N19" s="33" t="inlineStr">
        <is>
          <t>Same issues as mnid_nb_003 with weight band 1500–1999g. Reports notes: 'Birth weight not yet captured as a distinct filterable concept' — but MAHIS does have 'Baby Birthweight' numeric concept.</t>
        </is>
      </c>
      <c r="O19" s="33" t="inlineStr">
        <is>
          <t>Same as mnid_nb_003 but filter 'Baby Birthweight' between 1.5 and 1.999 kg (or 1500–1999g). Inform reports project that 'Baby Birthweight' IS available in MAHIS as a numeric concept — update awaiting_baseline note.</t>
        </is>
      </c>
      <c r="P19" s="20" t="inlineStr">
        <is>
          <t>No — Baby Birthweight IS captured in MAHIS Labour</t>
        </is>
      </c>
    </row>
    <row r="20" ht="80" customHeight="1">
      <c r="A20" s="31" t="inlineStr">
        <is>
          <t>mnid_nb_005</t>
        </is>
      </c>
      <c r="B20" s="31" t="inlineStr">
        <is>
          <t>Newborn</t>
        </is>
      </c>
      <c r="C20" s="31" t="inlineStr">
        <is>
          <t>Phototherapy for jaundice</t>
        </is>
      </c>
      <c r="D20" s="32" t="inlineStr">
        <is>
          <t>80%</t>
        </is>
      </c>
      <c r="E20" s="20" t="inlineStr">
        <is>
          <t>tracked</t>
        </is>
      </c>
      <c r="F20" s="31" t="inlineStr">
        <is>
          <t>Phototherapy given</t>
        </is>
      </c>
      <c r="G20" s="31" t="inlineStr">
        <is>
          <t>Yes</t>
        </is>
      </c>
      <c r="H20" s="31" t="inlineStr">
        <is>
          <t>concept_name = 'Phototherapy given' (any value)</t>
        </is>
      </c>
      <c r="I20" s="31" t="inlineStr">
        <is>
          <t>Management given to newborn</t>
        </is>
      </c>
      <c r="J20" s="31" t="inlineStr">
        <is>
          <t>Photo Therapy (among others)</t>
        </is>
      </c>
      <c r="K20" s="31" t="inlineStr">
        <is>
          <t>Labour &amp; Delivery / Newborn Details</t>
        </is>
      </c>
      <c r="L20" s="31" t="inlineStr">
        <is>
          <t>LABOUR &gt; Labour Details &gt; Newborn Details</t>
        </is>
      </c>
      <c r="M20" s="21" t="inlineStr">
        <is>
          <t>Fixable (name/value correction)</t>
        </is>
      </c>
      <c r="N20" s="31" t="inlineStr">
        <is>
          <t>Reports uses 'Phototherapy given'='Yes' but MAHIS records 'Management given to newborn'='Photo Therapy'. Concept name and value structure differ. Denominator (babies with jaundice) not explicitly captured — 'Jaundice' concept exists in MAHIS Labour but linkage needed.</t>
        </is>
      </c>
      <c r="O20" s="31" t="inlineStr">
        <is>
          <t>Change to: concept_name='Management given to newborn' AND obs_value_coded='Photo Therapy'. Denominator: babies with 'Jaundice' diagnosis OR all newborns (broader denominator). Verify 'Jaundice' concept exists in MAHIS as a newborn complication.</t>
        </is>
      </c>
      <c r="P20" s="20" t="inlineStr">
        <is>
          <t>No</t>
        </is>
      </c>
    </row>
    <row r="21" ht="80" customHeight="1">
      <c r="A21" s="33" t="inlineStr">
        <is>
          <t>mnid_nb_006</t>
        </is>
      </c>
      <c r="B21" s="33" t="inlineStr">
        <is>
          <t>Newborn</t>
        </is>
      </c>
      <c r="C21" s="33" t="inlineStr">
        <is>
          <t>Parenteral antibiotics for neonatal sepsis</t>
        </is>
      </c>
      <c r="D21" s="34" t="inlineStr">
        <is>
          <t>80%</t>
        </is>
      </c>
      <c r="E21" s="20" t="inlineStr">
        <is>
          <t>tracked</t>
        </is>
      </c>
      <c r="F21" s="33" t="inlineStr">
        <is>
          <t>Parenteral antibiotics given</t>
        </is>
      </c>
      <c r="G21" s="33" t="inlineStr">
        <is>
          <t>Yes</t>
        </is>
      </c>
      <c r="H21" s="33" t="inlineStr">
        <is>
          <t>concept_name = 'Parenteral antibiotics given' (any value)</t>
        </is>
      </c>
      <c r="I21" s="33" t="inlineStr">
        <is>
          <t>Management given to newborn</t>
        </is>
      </c>
      <c r="J21" s="33" t="inlineStr">
        <is>
          <t>Antibiotics (among others — does not specify parenteral/oral route)</t>
        </is>
      </c>
      <c r="K21" s="33" t="inlineStr">
        <is>
          <t>Labour &amp; Delivery / Newborn Details</t>
        </is>
      </c>
      <c r="L21" s="33" t="inlineStr">
        <is>
          <t>LABOUR &gt; Labour Details &gt; Newborn Details</t>
        </is>
      </c>
      <c r="M21" s="35" t="inlineStr">
        <is>
          <t>Partial (data exists, incomplete)</t>
        </is>
      </c>
      <c r="N21" s="33" t="inlineStr">
        <is>
          <t>Reports uses 'Parenteral antibiotics given'='Yes' but MAHIS only records 'Antibiotics' under 'Management given to newborn' without specifying route (parenteral vs oral). This is a clinical data quality gap.</t>
        </is>
      </c>
      <c r="O21" s="33" t="inlineStr">
        <is>
          <t>Short-term: use concept_name='Management given to newborn' AND obs_value_coded='Antibiotics' as a proxy. Long-term: update MAHIS Newborn Details form to add antibiotic route (parenteral/oral) as a separate field for accurate indicator tracking.</t>
        </is>
      </c>
      <c r="P21" s="20" t="inlineStr">
        <is>
          <t>No — but antibiotic route detail must be added to MAHIS</t>
        </is>
      </c>
    </row>
    <row r="22" ht="80" customHeight="1">
      <c r="A22" s="31" t="inlineStr">
        <is>
          <t>mnid_nb_007</t>
        </is>
      </c>
      <c r="B22" s="31" t="inlineStr">
        <is>
          <t>Newborn</t>
        </is>
      </c>
      <c r="C22" s="31" t="inlineStr">
        <is>
          <t>Not hypothermic on NNU admission</t>
        </is>
      </c>
      <c r="D22" s="32" t="inlineStr">
        <is>
          <t>80%</t>
        </is>
      </c>
      <c r="E22" s="20" t="inlineStr">
        <is>
          <t>tracked</t>
        </is>
      </c>
      <c r="F22" s="31" t="inlineStr">
        <is>
          <t>Thermal status on admission</t>
        </is>
      </c>
      <c r="G22" s="31" t="inlineStr">
        <is>
          <t>Not hypothermic</t>
        </is>
      </c>
      <c r="H22" s="31" t="inlineStr">
        <is>
          <t>concept_name = 'Thermal status on admission' (any value)</t>
        </is>
      </c>
      <c r="I22" s="31" t="inlineStr">
        <is>
          <t>NOT FOUND IN MAHIS</t>
        </is>
      </c>
      <c r="J22" s="31" t="inlineStr">
        <is>
          <t>N/A</t>
        </is>
      </c>
      <c r="K22" s="31" t="inlineStr">
        <is>
          <t>N/A — NNU admission not tracked in MAHIS</t>
        </is>
      </c>
      <c r="L22" s="31" t="inlineStr">
        <is>
          <t>N/A — MAHIS has no NNU (Neonatal Unit) admission module</t>
        </is>
      </c>
      <c r="M22" s="36" t="inlineStr">
        <is>
          <t>Requires external/other system</t>
        </is>
      </c>
      <c r="N22" s="31" t="inlineStr">
        <is>
          <t>Concept 'Thermal status on admission' does not exist anywhere in MAHIS ANC, Labour, or PNC modules. This indicator requires a dedicated Neonatal Unit (NNU) system with admission records including temperature on arrival.</t>
        </is>
      </c>
      <c r="O22" s="31" t="inlineStr">
        <is>
          <t>This indicator requires a separate NNU/Special Care Baby Unit (SCBU) information system or a dedicated Neonatal module in MAHIS. Cannot be tracked from current MAHIS data. Mark as 'Requires NNU System' in the reports dashboard.</t>
        </is>
      </c>
      <c r="P22" s="29" t="inlineStr">
        <is>
          <t>YES — Requires dedicated NNU/SCBU information system</t>
        </is>
      </c>
    </row>
    <row r="23" ht="80" customHeight="1">
      <c r="A23" s="33" t="inlineStr">
        <is>
          <t>mnid_nb_008</t>
        </is>
      </c>
      <c r="B23" s="33" t="inlineStr">
        <is>
          <t>Newborn</t>
        </is>
      </c>
      <c r="C23" s="33" t="inlineStr">
        <is>
          <t>Not hypothermic at any time (NNU stay)</t>
        </is>
      </c>
      <c r="D23" s="34" t="inlineStr">
        <is>
          <t>80%</t>
        </is>
      </c>
      <c r="E23" s="24" t="inlineStr">
        <is>
          <t>awaiting_baseline</t>
        </is>
      </c>
      <c r="F23" s="33" t="inlineStr">
        <is>
          <t>Longitudinal temperature monitoring</t>
        </is>
      </c>
      <c r="G23" s="33" t="inlineStr">
        <is>
          <t>All readings within normal range throughout NNU stay</t>
        </is>
      </c>
      <c r="H23" s="33" t="inlineStr">
        <is>
          <t>All NNU admission records (with serial temperature readings)</t>
        </is>
      </c>
      <c r="I23" s="33" t="inlineStr">
        <is>
          <t>NOT FOUND IN MAHIS</t>
        </is>
      </c>
      <c r="J23" s="33" t="inlineStr">
        <is>
          <t>N/A</t>
        </is>
      </c>
      <c r="K23" s="33" t="inlineStr">
        <is>
          <t>N/A — No NNU ward monitoring in MAHIS</t>
        </is>
      </c>
      <c r="L23" s="33" t="inlineStr">
        <is>
          <t>N/A — MAHIS has no NNU ward stay / repeated temperature monitoring</t>
        </is>
      </c>
      <c r="M23" s="36" t="inlineStr">
        <is>
          <t>Requires external/other system</t>
        </is>
      </c>
      <c r="N23" s="33" t="inlineStr">
        <is>
          <t>Requires longitudinal serial temperature recordings during NNU stay. MAHIS has no NNU inpatient ward module. This is a complex time-series indicator requiring NNU-specific systems.</t>
        </is>
      </c>
      <c r="O23" s="33" t="inlineStr">
        <is>
          <t>Same as mnid_nb_007 — requires dedicated NNU system. Additionally requires time-series logic across multiple temperature readings. Cannot be implemented with current MAHIS architecture.</t>
        </is>
      </c>
      <c r="P23" s="29" t="inlineStr">
        <is>
          <t>YES — Requires dedicated NNU/SCBU system with ward monitoring</t>
        </is>
      </c>
    </row>
    <row r="24" ht="80" customHeight="1">
      <c r="A24" s="37" t="inlineStr">
        <is>
          <t>mnid_pnc_001</t>
        </is>
      </c>
      <c r="B24" s="37" t="inlineStr">
        <is>
          <t>PNC</t>
        </is>
      </c>
      <c r="C24" s="37" t="inlineStr">
        <is>
          <t>PNC mothers seen within 48 hours</t>
        </is>
      </c>
      <c r="D24" s="38" t="inlineStr">
        <is>
          <t>80%</t>
        </is>
      </c>
      <c r="E24" s="20" t="inlineStr">
        <is>
          <t>tracked</t>
        </is>
      </c>
      <c r="F24" s="37" t="inlineStr">
        <is>
          <t>Postnatal check period</t>
        </is>
      </c>
      <c r="G24" s="37" t="inlineStr">
        <is>
          <t>Up to 48 hrs or before discharge</t>
        </is>
      </c>
      <c r="H24" s="37" t="inlineStr">
        <is>
          <t>concept_name = 'Postnatal check period' (any value)</t>
        </is>
      </c>
      <c r="I24" s="37" t="inlineStr">
        <is>
          <t>Postnatal check period</t>
        </is>
      </c>
      <c r="J24" s="37" t="inlineStr">
        <is>
          <t>Up to 48 hrs or before discharge | 3-7 days | 8-42 days | After 6 weeks</t>
        </is>
      </c>
      <c r="K24" s="37" t="inlineStr">
        <is>
          <t>PNC Visit (encounter_type 204)</t>
        </is>
      </c>
      <c r="L24" s="37" t="inlineStr">
        <is>
          <t>PNC &gt; Postnatal Visits &gt; Visit for Mother</t>
        </is>
      </c>
      <c r="M24" s="30" t="inlineStr">
        <is>
          <t>Works as-is</t>
        </is>
      </c>
      <c r="N24" s="37" t="inlineStr">
        <is>
          <t>Perfect match — concept name and coded value are identical in MAHIS and reports config.</t>
        </is>
      </c>
      <c r="O24" s="37" t="inlineStr">
        <is>
          <t>No changes needed. This indicator is correctly configured.</t>
        </is>
      </c>
      <c r="P24" s="20" t="inlineStr">
        <is>
          <t>No</t>
        </is>
      </c>
    </row>
    <row r="25" ht="80" customHeight="1">
      <c r="A25" s="39" t="inlineStr">
        <is>
          <t>mnid_pnc_002</t>
        </is>
      </c>
      <c r="B25" s="39" t="inlineStr">
        <is>
          <t>PNC</t>
        </is>
      </c>
      <c r="C25" s="39" t="inlineStr">
        <is>
          <t>BCG vaccination coverage</t>
        </is>
      </c>
      <c r="D25" s="40" t="inlineStr">
        <is>
          <t>90%</t>
        </is>
      </c>
      <c r="E25" s="20" t="inlineStr">
        <is>
          <t>tracked</t>
        </is>
      </c>
      <c r="F25" s="39" t="inlineStr">
        <is>
          <t>Type of immunization the baby received | Immunisation given</t>
        </is>
      </c>
      <c r="G25" s="39" t="inlineStr">
        <is>
          <t>BCG | bcg</t>
        </is>
      </c>
      <c r="H25" s="39" t="inlineStr">
        <is>
          <t>same concepts (any value)</t>
        </is>
      </c>
      <c r="I25" s="39" t="inlineStr">
        <is>
          <t>Type of immunization the baby received</t>
        </is>
      </c>
      <c r="J25" s="39" t="inlineStr">
        <is>
          <t>BCG | Polio 0</t>
        </is>
      </c>
      <c r="K25" s="39" t="inlineStr">
        <is>
          <t>PNC Visit (encounter_type 204)</t>
        </is>
      </c>
      <c r="L25" s="39" t="inlineStr">
        <is>
          <t>PNC &gt; Postnatal Visits &gt; Visit for Baby</t>
        </is>
      </c>
      <c r="M25" s="30" t="inlineStr">
        <is>
          <t>Works as-is</t>
        </is>
      </c>
      <c r="N25" s="39" t="inlineStr">
        <is>
          <t>Concept name matches. 'BCG' value matches (reports handles both 'BCG' and 'bcg'). MAHIS uses 'Type of immunization the baby received' which is in the reports list.</t>
        </is>
      </c>
      <c r="O25" s="39" t="inlineStr">
        <is>
          <t>No changes needed. Verify that 'Immunisation given' concept is also used in any other PNC forms for completeness (it may be used in Labour postnatal checks).</t>
        </is>
      </c>
      <c r="P25" s="20" t="inlineStr">
        <is>
          <t>No</t>
        </is>
      </c>
    </row>
    <row r="26" ht="80" customHeight="1">
      <c r="A26" s="37" t="inlineStr">
        <is>
          <t>mnid_pnc_003</t>
        </is>
      </c>
      <c r="B26" s="37" t="inlineStr">
        <is>
          <t>PNC</t>
        </is>
      </c>
      <c r="C26" s="37" t="inlineStr">
        <is>
          <t>Exclusive breastfeeding</t>
        </is>
      </c>
      <c r="D26" s="38" t="inlineStr">
        <is>
          <t>80%</t>
        </is>
      </c>
      <c r="E26" s="20" t="inlineStr">
        <is>
          <t>tracked</t>
        </is>
      </c>
      <c r="F26" s="37" t="inlineStr">
        <is>
          <t>Breast feeding</t>
        </is>
      </c>
      <c r="G26" s="37" t="inlineStr">
        <is>
          <t>Exclusive | exclusive breastfeeding</t>
        </is>
      </c>
      <c r="H26" s="37" t="inlineStr">
        <is>
          <t>concept_name = 'Breast feeding' (any value)</t>
        </is>
      </c>
      <c r="I26" s="37" t="inlineStr">
        <is>
          <t>Breast feeding</t>
        </is>
      </c>
      <c r="J26" s="37" t="inlineStr">
        <is>
          <t>Exclusive | Non Exclusive | Not breastfeeding/Formula</t>
        </is>
      </c>
      <c r="K26" s="37" t="inlineStr">
        <is>
          <t>PNC Visit (encounter_type 204)</t>
        </is>
      </c>
      <c r="L26" s="37" t="inlineStr">
        <is>
          <t>PNC &gt; Postnatal Visits &gt; Visit for Mother</t>
        </is>
      </c>
      <c r="M26" s="30" t="inlineStr">
        <is>
          <t>Works as-is</t>
        </is>
      </c>
      <c r="N26" s="37" t="inlineStr">
        <is>
          <t>Concept name matches. MAHIS value is 'Exclusive' which is in the reports value list. 'exclusive breastfeeding' is handled as a case variant but is not needed since MAHIS uses 'Exclusive'.</t>
        </is>
      </c>
      <c r="O26" s="37" t="inlineStr">
        <is>
          <t>No changes needed. This indicator is correctly configured.</t>
        </is>
      </c>
      <c r="P26" s="20" t="inlineStr">
        <is>
          <t>No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4" customWidth="1" min="5" max="5"/>
    <col width="26" customWidth="1" min="6" max="6"/>
    <col width="28" customWidth="1" min="7" max="7"/>
    <col width="28" customWidth="1" min="8" max="8"/>
    <col width="26" customWidth="1" min="9" max="9"/>
    <col width="38" customWidth="1" min="10" max="10"/>
    <col width="24" customWidth="1" min="11" max="11"/>
    <col width="30" customWidth="1" min="12" max="12"/>
    <col width="16" customWidth="1" min="13" max="13"/>
    <col width="55" customWidth="1" min="14" max="14"/>
    <col width="60" customWidth="1" min="15" max="15"/>
    <col width="22" customWidth="1" min="16" max="16"/>
  </cols>
  <sheetData>
    <row r="1" ht="32" customHeight="1">
      <c r="A1" s="41" t="inlineStr">
        <is>
          <t>MAHIS MNID Indicators — ANC</t>
        </is>
      </c>
    </row>
    <row r="2" ht="36" customHeight="1">
      <c r="A2" s="17" t="inlineStr">
        <is>
          <t>Indicator ID</t>
        </is>
      </c>
      <c r="B2" s="17" t="inlineStr">
        <is>
          <t>Category</t>
        </is>
      </c>
      <c r="C2" s="17" t="inlineStr">
        <is>
          <t>Indicator Label</t>
        </is>
      </c>
      <c r="D2" s="17" t="inlineStr">
        <is>
          <t>Target %</t>
        </is>
      </c>
      <c r="E2" s="17" t="inlineStr">
        <is>
          <t>Reports Status</t>
        </is>
      </c>
      <c r="F2" s="17" t="inlineStr">
        <is>
          <t>Reports Concept Name</t>
        </is>
      </c>
      <c r="G2" s="17" t="inlineStr">
        <is>
          <t>Reports Expected Value</t>
        </is>
      </c>
      <c r="H2" s="17" t="inlineStr">
        <is>
          <t>Reports Denominator</t>
        </is>
      </c>
      <c r="I2" s="17" t="inlineStr">
        <is>
          <t>MAHIS Concept Name</t>
        </is>
      </c>
      <c r="J2" s="17" t="inlineStr">
        <is>
          <t>MAHIS Coded Values</t>
        </is>
      </c>
      <c r="K2" s="17" t="inlineStr">
        <is>
          <t>MAHIS Encounter Type</t>
        </is>
      </c>
      <c r="L2" s="17" t="inlineStr">
        <is>
          <t>MAHIS Form / Section</t>
        </is>
      </c>
      <c r="M2" s="17" t="inlineStr">
        <is>
          <t>Feasibility</t>
        </is>
      </c>
      <c r="N2" s="17" t="inlineStr">
        <is>
          <t>Gap / Issue</t>
        </is>
      </c>
      <c r="O2" s="17" t="inlineStr">
        <is>
          <t>Recommendation</t>
        </is>
      </c>
      <c r="P2" s="17" t="inlineStr">
        <is>
          <t>Requires Other System?</t>
        </is>
      </c>
    </row>
    <row r="3" ht="100" customHeight="1">
      <c r="A3" s="18" t="inlineStr">
        <is>
          <t>mnid_anc_001</t>
        </is>
      </c>
      <c r="B3" s="18" t="inlineStr">
        <is>
          <t>ANC</t>
        </is>
      </c>
      <c r="C3" s="18" t="inlineStr">
        <is>
          <t>ANC screened for anaemia</t>
        </is>
      </c>
      <c r="D3" s="42" t="inlineStr">
        <is>
          <t>80%</t>
        </is>
      </c>
      <c r="E3" s="20" t="inlineStr">
        <is>
          <t>tracked</t>
        </is>
      </c>
      <c r="F3" s="18" t="inlineStr">
        <is>
          <t>Anemia screening</t>
        </is>
      </c>
      <c r="G3" s="18" t="inlineStr">
        <is>
          <t>Screened</t>
        </is>
      </c>
      <c r="H3" s="18" t="inlineStr">
        <is>
          <t>concept_name = 'Anemia screening' (any value)</t>
        </is>
      </c>
      <c r="I3" s="18" t="inlineStr">
        <is>
          <t>Hb(g/dL)</t>
        </is>
      </c>
      <c r="J3" s="18" t="inlineStr">
        <is>
          <t>normal range 11-14 g/dL | below normal 10.9 g/d is anemia | Not Done</t>
        </is>
      </c>
      <c r="K3" s="18" t="inlineStr">
        <is>
          <t>ANC VISIT (encounter_type 151)</t>
        </is>
      </c>
      <c r="L3" s="18" t="inlineStr">
        <is>
          <t>ANC &gt; Lab Tests &gt; Lab Investigations</t>
        </is>
      </c>
      <c r="M3" s="21" t="inlineStr">
        <is>
          <t>Fixable (name/value correction)</t>
        </is>
      </c>
      <c r="N3" s="18" t="inlineStr">
        <is>
          <t>Reports looks for 'Anemia screening'='Screened' but MAHIS saves actual result under 'Hb(g/dL)'. Concept name does not exist in MAHIS.</t>
        </is>
      </c>
      <c r="O3" s="18" t="inlineStr">
        <is>
          <t>Change reports numerator to: concept_name='Hb(g/dL)' AND obs_value_coded != 'Not Done'. Denominator: concept_name='Hb(g/dL)'.</t>
        </is>
      </c>
      <c r="P3" s="20" t="inlineStr">
        <is>
          <t>No</t>
        </is>
      </c>
    </row>
    <row r="4" ht="100" customHeight="1">
      <c r="A4" s="22" t="inlineStr">
        <is>
          <t>mnid_anc_002</t>
        </is>
      </c>
      <c r="B4" s="22" t="inlineStr">
        <is>
          <t>ANC</t>
        </is>
      </c>
      <c r="C4" s="22" t="inlineStr">
        <is>
          <t>ANC screened for infection</t>
        </is>
      </c>
      <c r="D4" s="43" t="inlineStr">
        <is>
          <t>80%</t>
        </is>
      </c>
      <c r="E4" s="20" t="inlineStr">
        <is>
          <t>tracked</t>
        </is>
      </c>
      <c r="F4" s="22" t="inlineStr">
        <is>
          <t>Infection screening</t>
        </is>
      </c>
      <c r="G4" s="22" t="inlineStr">
        <is>
          <t>Screened</t>
        </is>
      </c>
      <c r="H4" s="22" t="inlineStr">
        <is>
          <t>concept_name = 'Infection screening' (any value)</t>
        </is>
      </c>
      <c r="I4" s="22" t="inlineStr">
        <is>
          <t>Syphilis Test Result | Hepatitis B</t>
        </is>
      </c>
      <c r="J4" s="22" t="inlineStr">
        <is>
          <t>Syphilis: Positive/Negative/Not Done; Hep B: Positive/Negative/Not Done</t>
        </is>
      </c>
      <c r="K4" s="22" t="inlineStr">
        <is>
          <t>ANC VISIT (encounter_type 151)</t>
        </is>
      </c>
      <c r="L4" s="22" t="inlineStr">
        <is>
          <t>ANC &gt; Lab Tests &gt; Lab Investigations</t>
        </is>
      </c>
      <c r="M4" s="24" t="inlineStr">
        <is>
          <t>Complex (composite logic needed)</t>
        </is>
      </c>
      <c r="N4" s="22" t="inlineStr">
        <is>
          <t>No single 'Infection screening' concept in MAHIS. Infections are tested individually (Syphilis, Hep B). Reports concept does not exist.</t>
        </is>
      </c>
      <c r="O4" s="22" t="inlineStr">
        <is>
          <t>Define composite: person has either 'Syphilis Test Result' != 'Not Done' OR 'Hepatitis B' != 'Not Done' in ANC encounter = screened. Requires multi-concept OR logic.</t>
        </is>
      </c>
      <c r="P4" s="20" t="inlineStr">
        <is>
          <t>No</t>
        </is>
      </c>
    </row>
    <row r="5" ht="100" customHeight="1">
      <c r="A5" s="18" t="inlineStr">
        <is>
          <t>mnid_anc_003</t>
        </is>
      </c>
      <c r="B5" s="18" t="inlineStr">
        <is>
          <t>ANC</t>
        </is>
      </c>
      <c r="C5" s="18" t="inlineStr">
        <is>
          <t>ANC screened for high blood pressure</t>
        </is>
      </c>
      <c r="D5" s="42" t="inlineStr">
        <is>
          <t>80%</t>
        </is>
      </c>
      <c r="E5" s="20" t="inlineStr">
        <is>
          <t>tracked</t>
        </is>
      </c>
      <c r="F5" s="18" t="inlineStr">
        <is>
          <t>High blood pressure screening</t>
        </is>
      </c>
      <c r="G5" s="18" t="inlineStr">
        <is>
          <t>Screened</t>
        </is>
      </c>
      <c r="H5" s="18" t="inlineStr">
        <is>
          <t>concept_name = 'High blood pressure screening' (any value)</t>
        </is>
      </c>
      <c r="I5" s="18" t="inlineStr">
        <is>
          <t>BP | Systolic Pressure* | Diastolic pressure*</t>
        </is>
      </c>
      <c r="J5" s="18" t="inlineStr">
        <is>
          <t>Numeric values (mmHg). Saved as vitals in encounter_type 6 (VITALS).</t>
        </is>
      </c>
      <c r="K5" s="18" t="inlineStr">
        <is>
          <t>VITALS (encounter_type 6) linked to ANC visit</t>
        </is>
      </c>
      <c r="L5" s="18" t="inlineStr">
        <is>
          <t>ANC &gt; Physical Exam &gt; Vitals</t>
        </is>
      </c>
      <c r="M5" s="21" t="inlineStr">
        <is>
          <t>Fixable (name/value correction)</t>
        </is>
      </c>
      <c r="N5" s="18" t="inlineStr">
        <is>
          <t>Reports looks for 'High blood pressure screening'='Screened' but MAHIS saves actual BP numeric values. Concept does not exist. BP is in VITALS encounter, not ANC_VISIT.</t>
        </is>
      </c>
      <c r="O5" s="18" t="inlineStr">
        <is>
          <t>Change reports to: concept_name='Systolic Pressure*' (any numeric value recorded) in Program='ANC'. Presence of BP value = screened. Must query VITALS encounter within ANC program.</t>
        </is>
      </c>
      <c r="P5" s="20" t="inlineStr">
        <is>
          <t>No</t>
        </is>
      </c>
    </row>
    <row r="6" ht="100" customHeight="1">
      <c r="A6" s="22" t="inlineStr">
        <is>
          <t>mnid_anc_004</t>
        </is>
      </c>
      <c r="B6" s="22" t="inlineStr">
        <is>
          <t>ANC</t>
        </is>
      </c>
      <c r="C6" s="22" t="inlineStr">
        <is>
          <t>HIV-tested + screened for anaemia + high BP (composite)</t>
        </is>
      </c>
      <c r="D6" s="43" t="inlineStr">
        <is>
          <t>80%</t>
        </is>
      </c>
      <c r="E6" s="24" t="inlineStr">
        <is>
          <t>awaiting_baseline</t>
        </is>
      </c>
      <c r="F6" s="22" t="inlineStr">
        <is>
          <t>Composite (multi-concept)</t>
        </is>
      </c>
      <c r="G6" s="22" t="inlineStr">
        <is>
          <t>HIV test + Hb + BP all in same ANC visit</t>
        </is>
      </c>
      <c r="H6" s="22" t="inlineStr">
        <is>
          <t>ANC VISIT encounter</t>
        </is>
      </c>
      <c r="I6" s="22" t="inlineStr">
        <is>
          <t>HIV Test | Hb(g/dL) | Systolic Pressure*</t>
        </is>
      </c>
      <c r="J6" s="22" t="inlineStr">
        <is>
          <t>HIV Test: Positive/Negative/Not Done; Hb(g/dL): see above; BP: numeric</t>
        </is>
      </c>
      <c r="K6" s="22" t="inlineStr">
        <is>
          <t>HIV Test &amp; Hb in ANC_VISIT (151); BP in VITALS (6)</t>
        </is>
      </c>
      <c r="L6" s="22" t="inlineStr">
        <is>
          <t>ANC &gt; Lab Tests; ANC &gt; Physical Exam &gt; Vitals</t>
        </is>
      </c>
      <c r="M6" s="24" t="inlineStr">
        <is>
          <t>Complex (composite logic needed)</t>
        </is>
      </c>
      <c r="N6" s="22" t="inlineStr">
        <is>
          <t>Three different concepts across two encounter types (ANC_VISIT and VITALS) must be linked per person per visit date. Complex JOIN logic required.</t>
        </is>
      </c>
      <c r="O6" s="22" t="inlineStr">
        <is>
          <t>Requires custom SQL: for each person+date, check HIV Test != 'Not Done' AND Hb(g/dL) != 'Not Done' AND BP exists in VITALS on same date. Not achievable with simple single-concept filter.</t>
        </is>
      </c>
      <c r="P6" s="20" t="inlineStr">
        <is>
          <t>No</t>
        </is>
      </c>
    </row>
    <row r="7" ht="100" customHeight="1">
      <c r="A7" s="18" t="inlineStr">
        <is>
          <t>mnid_anc_005</t>
        </is>
      </c>
      <c r="B7" s="18" t="inlineStr">
        <is>
          <t>ANC</t>
        </is>
      </c>
      <c r="C7" s="18" t="inlineStr">
        <is>
          <t>POCUS with gestational age recorded</t>
        </is>
      </c>
      <c r="D7" s="42" t="inlineStr">
        <is>
          <t>50%</t>
        </is>
      </c>
      <c r="E7" s="20" t="inlineStr">
        <is>
          <t>tracked</t>
        </is>
      </c>
      <c r="F7" s="18" t="inlineStr">
        <is>
          <t>POCUS completed</t>
        </is>
      </c>
      <c r="G7" s="18" t="inlineStr">
        <is>
          <t>Yes</t>
        </is>
      </c>
      <c r="H7" s="18" t="inlineStr">
        <is>
          <t>concept_name = 'POCUS completed' (any value)</t>
        </is>
      </c>
      <c r="I7" s="18" t="inlineStr">
        <is>
          <t>Ultrasound scan status</t>
        </is>
      </c>
      <c r="J7" s="18" t="inlineStr">
        <is>
          <t>Ultrasound scan conducted | Ultrasound scan not done</t>
        </is>
      </c>
      <c r="K7" s="18" t="inlineStr">
        <is>
          <t>ANC VISIT (encounter_type 151)</t>
        </is>
      </c>
      <c r="L7" s="18" t="inlineStr">
        <is>
          <t>ANC &gt; Lab Tests &gt; Ultrasound</t>
        </is>
      </c>
      <c r="M7" s="21" t="inlineStr">
        <is>
          <t>Fixable (name/value correction)</t>
        </is>
      </c>
      <c r="N7" s="18" t="inlineStr">
        <is>
          <t>Reports uses 'POCUS completed'='Yes' but MAHIS saves 'Ultrasound scan status'='Ultrasound scan conducted'. Different concept name and value.</t>
        </is>
      </c>
      <c r="O7" s="18" t="inlineStr">
        <is>
          <t>Change reports to: concept_name='Ultrasound scan status' AND obs_value_coded='Ultrasound scan conducted'. Denominator: same concept any value.</t>
        </is>
      </c>
      <c r="P7" s="20" t="inlineStr">
        <is>
          <t>No</t>
        </is>
      </c>
    </row>
    <row r="8" ht="100" customHeight="1">
      <c r="A8" s="22" t="inlineStr">
        <is>
          <t>mnid_anc_006</t>
        </is>
      </c>
      <c r="B8" s="22" t="inlineStr">
        <is>
          <t>ANC</t>
        </is>
      </c>
      <c r="C8" s="22" t="inlineStr">
        <is>
          <t>ANC 2+ tetanus doses</t>
        </is>
      </c>
      <c r="D8" s="43" t="inlineStr">
        <is>
          <t>80%</t>
        </is>
      </c>
      <c r="E8" s="20" t="inlineStr">
        <is>
          <t>tracked</t>
        </is>
      </c>
      <c r="F8" s="22" t="inlineStr">
        <is>
          <t>Number of tetanus doses</t>
        </is>
      </c>
      <c r="G8" s="22" t="inlineStr">
        <is>
          <t>two doses | three doses | four doses</t>
        </is>
      </c>
      <c r="H8" s="22" t="inlineStr">
        <is>
          <t>Encounter = 'ANC VISIT'</t>
        </is>
      </c>
      <c r="I8" s="22" t="inlineStr">
        <is>
          <t>TDV</t>
        </is>
      </c>
      <c r="J8" s="22" t="inlineStr">
        <is>
          <t>Yes | No (per-visit recording only)</t>
        </is>
      </c>
      <c r="K8" s="22" t="inlineStr">
        <is>
          <t>Treatment encounter (encounter_type 25)</t>
        </is>
      </c>
      <c r="L8" s="22" t="inlineStr">
        <is>
          <t>ANC &gt; Diagnosis &amp; Treatment &gt; Immunization</t>
        </is>
      </c>
      <c r="M8" s="24" t="inlineStr">
        <is>
          <t>Complex (composite logic needed)</t>
        </is>
      </c>
      <c r="N8" s="22" t="inlineStr">
        <is>
          <t>Reports expects cumulative 'Number of tetanus doses' concept which does NOT exist in MAHIS. MAHIS only records Yes/No per visit. To compute 2+ doses you must count visits where TDV='Yes' per patient across multiple encounters.</t>
        </is>
      </c>
      <c r="O8" s="22" t="inlineStr">
        <is>
          <t>Requires aggregation: COUNT(encounters WHERE concept_name='TDV' AND value='Yes') per person &gt;= 2. Cannot be resolved with a simple filter. Consider adding a cumulative 'TDV dose count' concept to MAHIS, or implement custom aggregation in reports.</t>
        </is>
      </c>
      <c r="P8" s="20" t="inlineStr">
        <is>
          <t>No — but requires schema change or custom aggregation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4" customWidth="1" min="5" max="5"/>
    <col width="26" customWidth="1" min="6" max="6"/>
    <col width="28" customWidth="1" min="7" max="7"/>
    <col width="28" customWidth="1" min="8" max="8"/>
    <col width="26" customWidth="1" min="9" max="9"/>
    <col width="38" customWidth="1" min="10" max="10"/>
    <col width="24" customWidth="1" min="11" max="11"/>
    <col width="30" customWidth="1" min="12" max="12"/>
    <col width="16" customWidth="1" min="13" max="13"/>
    <col width="55" customWidth="1" min="14" max="14"/>
    <col width="60" customWidth="1" min="15" max="15"/>
    <col width="22" customWidth="1" min="16" max="16"/>
  </cols>
  <sheetData>
    <row r="1" ht="32" customHeight="1">
      <c r="A1" s="16" t="inlineStr">
        <is>
          <t>MAHIS MNID Indicators — Labour</t>
        </is>
      </c>
    </row>
    <row r="2" ht="36" customHeight="1">
      <c r="A2" s="17" t="inlineStr">
        <is>
          <t>Indicator ID</t>
        </is>
      </c>
      <c r="B2" s="17" t="inlineStr">
        <is>
          <t>Category</t>
        </is>
      </c>
      <c r="C2" s="17" t="inlineStr">
        <is>
          <t>Indicator Label</t>
        </is>
      </c>
      <c r="D2" s="17" t="inlineStr">
        <is>
          <t>Target %</t>
        </is>
      </c>
      <c r="E2" s="17" t="inlineStr">
        <is>
          <t>Reports Status</t>
        </is>
      </c>
      <c r="F2" s="17" t="inlineStr">
        <is>
          <t>Reports Concept Name</t>
        </is>
      </c>
      <c r="G2" s="17" t="inlineStr">
        <is>
          <t>Reports Expected Value</t>
        </is>
      </c>
      <c r="H2" s="17" t="inlineStr">
        <is>
          <t>Reports Denominator</t>
        </is>
      </c>
      <c r="I2" s="17" t="inlineStr">
        <is>
          <t>MAHIS Concept Name</t>
        </is>
      </c>
      <c r="J2" s="17" t="inlineStr">
        <is>
          <t>MAHIS Coded Values</t>
        </is>
      </c>
      <c r="K2" s="17" t="inlineStr">
        <is>
          <t>MAHIS Encounter Type</t>
        </is>
      </c>
      <c r="L2" s="17" t="inlineStr">
        <is>
          <t>MAHIS Form / Section</t>
        </is>
      </c>
      <c r="M2" s="17" t="inlineStr">
        <is>
          <t>Feasibility</t>
        </is>
      </c>
      <c r="N2" s="17" t="inlineStr">
        <is>
          <t>Gap / Issue</t>
        </is>
      </c>
      <c r="O2" s="17" t="inlineStr">
        <is>
          <t>Recommendation</t>
        </is>
      </c>
      <c r="P2" s="17" t="inlineStr">
        <is>
          <t>Requires Other System?</t>
        </is>
      </c>
    </row>
    <row r="3" ht="100" customHeight="1">
      <c r="A3" s="25" t="inlineStr">
        <is>
          <t>mnid_lab_001</t>
        </is>
      </c>
      <c r="B3" s="25" t="inlineStr">
        <is>
          <t>Labour</t>
        </is>
      </c>
      <c r="C3" s="25" t="inlineStr">
        <is>
          <t>Quality intrapartum care per guidelines</t>
        </is>
      </c>
      <c r="D3" s="44" t="inlineStr">
        <is>
          <t>80%</t>
        </is>
      </c>
      <c r="E3" s="24" t="inlineStr">
        <is>
          <t>awaiting_baseline</t>
        </is>
      </c>
      <c r="F3" s="25" t="inlineStr">
        <is>
          <t>Composite (PPH + Sepsis + Eclampsia + Obstructed Labour)</t>
        </is>
      </c>
      <c r="G3" s="25" t="inlineStr">
        <is>
          <t>All complications managed per protocol</t>
        </is>
      </c>
      <c r="H3" s="25" t="inlineStr">
        <is>
          <t>All labour encounters</t>
        </is>
      </c>
      <c r="I3" s="25" t="inlineStr">
        <is>
          <t>Obstetric complications | Obstetric care provided</t>
        </is>
      </c>
      <c r="J3" s="25" t="inlineStr">
        <is>
          <t>Complications: antepartum haemorrhage, post partum Haemorrhage, obstructed/Prolonged labour, preterm labour, (pre-) eclampsia, sepsis, ruptured uterus...
Care provided: oxytocin, cabitocin, tranexamic acid, misoprostol, anticonvulsants, antibiotics, antenatal corticosteroids, blood transfusion, MRP, NASG...</t>
        </is>
      </c>
      <c r="K3" s="25" t="inlineStr">
        <is>
          <t>Labour &amp; Delivery (encounter_type 205/219)</t>
        </is>
      </c>
      <c r="L3" s="25" t="inlineStr">
        <is>
          <t>LABOUR &gt; Continuous Monitoring &gt; Obstetric Care</t>
        </is>
      </c>
      <c r="M3" s="24" t="inlineStr">
        <is>
          <t>Complex (composite logic needed)</t>
        </is>
      </c>
      <c r="N3" s="25" t="inlineStr">
        <is>
          <t>No single concept captures 'guidelines followed'. Must link: if PPH then oxytocin/misoprostol given; if Eclampsia then anticonvulsants given; if Sepsis then antibiotics given; etc. Requires multi-row JOIN across complications and care provided for same encounter.</t>
        </is>
      </c>
      <c r="O3" s="25" t="inlineStr">
        <is>
          <t>Implement composite logic: for each labour encounter, check if ALL detected complications have corresponding appropriate care. E.g., sepsis→antibiotics, eclampsia→anticonvulsants, PPH→uterotonics. Use 'Obstetric complications' + 'Obstetric care provided' concept pair.</t>
        </is>
      </c>
      <c r="P3" s="20" t="inlineStr">
        <is>
          <t>No — data exists in MAHIS but requires complex composite logic</t>
        </is>
      </c>
    </row>
    <row r="4" ht="100" customHeight="1">
      <c r="A4" s="27" t="inlineStr">
        <is>
          <t>mnid_lab_002</t>
        </is>
      </c>
      <c r="B4" s="27" t="inlineStr">
        <is>
          <t>Labour</t>
        </is>
      </c>
      <c r="C4" s="27" t="inlineStr">
        <is>
          <t>Digital intrapartum monitoring (partograph use)</t>
        </is>
      </c>
      <c r="D4" s="45" t="inlineStr">
        <is>
          <t>70%</t>
        </is>
      </c>
      <c r="E4" s="20" t="inlineStr">
        <is>
          <t>tracked</t>
        </is>
      </c>
      <c r="F4" s="27" t="inlineStr">
        <is>
          <t>Digital intrapartum monitoring</t>
        </is>
      </c>
      <c r="G4" s="27" t="inlineStr">
        <is>
          <t>Used</t>
        </is>
      </c>
      <c r="H4" s="27" t="inlineStr">
        <is>
          <t>concept_name = 'Digital intrapartum monitoring' (any value)</t>
        </is>
      </c>
      <c r="I4" s="27" t="inlineStr">
        <is>
          <t>Was a partograph used</t>
        </is>
      </c>
      <c r="J4" s="27" t="inlineStr">
        <is>
          <t>Yes | No</t>
        </is>
      </c>
      <c r="K4" s="27" t="inlineStr">
        <is>
          <t>Summary of Labour encounter</t>
        </is>
      </c>
      <c r="L4" s="27" t="inlineStr">
        <is>
          <t>LABOUR &gt; Summary of Labour</t>
        </is>
      </c>
      <c r="M4" s="21" t="inlineStr">
        <is>
          <t>Fixable (name/value correction)</t>
        </is>
      </c>
      <c r="N4" s="27" t="inlineStr">
        <is>
          <t>Reports uses 'Digital intrapartum monitoring'='Used' but MAHIS saves 'Was a partograph used'='Yes'. Neither concept name nor coded value match.</t>
        </is>
      </c>
      <c r="O4" s="27" t="inlineStr">
        <is>
          <t>Change reports to: concept_name='Was a partograph used' AND obs_value_coded='Yes'. Denominator: concept_name='Was a partograph used' (any value).</t>
        </is>
      </c>
      <c r="P4" s="20" t="inlineStr">
        <is>
          <t>No</t>
        </is>
      </c>
    </row>
    <row r="5" ht="100" customHeight="1">
      <c r="A5" s="25" t="inlineStr">
        <is>
          <t>mnid_lab_003</t>
        </is>
      </c>
      <c r="B5" s="25" t="inlineStr">
        <is>
          <t>Labour</t>
        </is>
      </c>
      <c r="C5" s="25" t="inlineStr">
        <is>
          <t>Antenatal corticosteroids (pre-term labour)</t>
        </is>
      </c>
      <c r="D5" s="44" t="inlineStr">
        <is>
          <t>70%</t>
        </is>
      </c>
      <c r="E5" s="20" t="inlineStr">
        <is>
          <t>tracked</t>
        </is>
      </c>
      <c r="F5" s="25" t="inlineStr">
        <is>
          <t>Antenatal corticosteroids given</t>
        </is>
      </c>
      <c r="G5" s="25" t="inlineStr">
        <is>
          <t>Yes</t>
        </is>
      </c>
      <c r="H5" s="25" t="inlineStr">
        <is>
          <t>concept_name = 'Antenatal corticosteroids given' value IN [Yes, No]</t>
        </is>
      </c>
      <c r="I5" s="25" t="inlineStr">
        <is>
          <t>Corticosteroids given</t>
        </is>
      </c>
      <c r="J5" s="25" t="inlineStr">
        <is>
          <t>yes | no  (lowercase)</t>
        </is>
      </c>
      <c r="K5" s="25" t="inlineStr">
        <is>
          <t>Labour Assessment / Continuous Monitoring</t>
        </is>
      </c>
      <c r="L5" s="25" t="inlineStr">
        <is>
          <t>LABOUR &gt; Continuous Monitoring &gt; Progress of Labour</t>
        </is>
      </c>
      <c r="M5" s="21" t="inlineStr">
        <is>
          <t>Fixable (name/value correction)</t>
        </is>
      </c>
      <c r="N5" s="25" t="inlineStr">
        <is>
          <t>Reports uses 'Antenatal corticosteroids given'='Yes' but MAHIS saves 'Corticosteroids given'='yes' (lowercase). Name and casing differ. Also denominator should ideally filter gestational age &lt; 37wks (data exists as 'Gestation weeks' in MAHIS).</t>
        </is>
      </c>
      <c r="O5" s="25" t="inlineStr">
        <is>
          <t>Change reports to: concept_name='Corticosteroids given' AND obs_value_coded IN ['yes','Yes'] (case-insensitive). Denominator: same concept any value. For refined accuracy, add gestational age &lt; 37 filter using 'Gestation weeks' concept.</t>
        </is>
      </c>
      <c r="P5" s="20" t="inlineStr">
        <is>
          <t>No</t>
        </is>
      </c>
    </row>
    <row r="6" ht="100" customHeight="1">
      <c r="A6" s="27" t="inlineStr">
        <is>
          <t>mnid_lab_004</t>
        </is>
      </c>
      <c r="B6" s="27" t="inlineStr">
        <is>
          <t>Labour</t>
        </is>
      </c>
      <c r="C6" s="27" t="inlineStr">
        <is>
          <t>Prophylactic azithromycin in labour</t>
        </is>
      </c>
      <c r="D6" s="45" t="inlineStr">
        <is>
          <t>50%</t>
        </is>
      </c>
      <c r="E6" s="20" t="inlineStr">
        <is>
          <t>tracked</t>
        </is>
      </c>
      <c r="F6" s="27" t="inlineStr">
        <is>
          <t>Prophylactic azithromycin given</t>
        </is>
      </c>
      <c r="G6" s="27" t="inlineStr">
        <is>
          <t>Yes</t>
        </is>
      </c>
      <c r="H6" s="27" t="inlineStr">
        <is>
          <t>concept_name = 'Prophylactic azithromycin given' (any value)</t>
        </is>
      </c>
      <c r="I6" s="27" t="inlineStr">
        <is>
          <t>NOT FOUND</t>
        </is>
      </c>
      <c r="J6" s="27" t="inlineStr">
        <is>
          <t>N/A — concept does not appear to exist in MAHIS</t>
        </is>
      </c>
      <c r="K6" s="27" t="inlineStr">
        <is>
          <t>N/A</t>
        </is>
      </c>
      <c r="L6" s="27" t="inlineStr">
        <is>
          <t>N/A — not in any Labour form</t>
        </is>
      </c>
      <c r="M6" s="29" t="inlineStr">
        <is>
          <t>Not possible (concept missing from MAHIS)</t>
        </is>
      </c>
      <c r="N6" s="27" t="inlineStr">
        <is>
          <t>Concept 'Prophylactic azithromycin given' does not exist in MAHIS. Not captured in any Labour form. Also noted as 'Awaiting Malawi guideline adoption' in reports documentation.</t>
        </is>
      </c>
      <c r="O6" s="27" t="inlineStr">
        <is>
          <t>1) Confirm whether azithromycin prophylaxis in labour is a current Malawi MoH guideline.
2) If yes, add concept 'Prophylactic azithromycin given' (Yes/No) to MAHIS Labour form.
3) Once confirmed in OpenMRS, activate indicator in reports.
Currently cannot produce meaningful data from MAHIS.</t>
        </is>
      </c>
      <c r="P6" s="20" t="inlineStr">
        <is>
          <t>No — but concept must be added to MAHIS Labour form</t>
        </is>
      </c>
    </row>
    <row r="7" ht="100" customHeight="1">
      <c r="A7" s="25" t="inlineStr">
        <is>
          <t>mnid_lab_005</t>
        </is>
      </c>
      <c r="B7" s="25" t="inlineStr">
        <is>
          <t>Labour</t>
        </is>
      </c>
      <c r="C7" s="25" t="inlineStr">
        <is>
          <t>PPH early detection + WHO E-MOTIVE treatment bundle</t>
        </is>
      </c>
      <c r="D7" s="44" t="inlineStr">
        <is>
          <t>70%</t>
        </is>
      </c>
      <c r="E7" s="20" t="inlineStr">
        <is>
          <t>tracked</t>
        </is>
      </c>
      <c r="F7" s="25" t="inlineStr">
        <is>
          <t>PPH treatment bundle</t>
        </is>
      </c>
      <c r="G7" s="25" t="inlineStr">
        <is>
          <t>Completed</t>
        </is>
      </c>
      <c r="H7" s="25" t="inlineStr">
        <is>
          <t>concept_name = 'PPH treatment bundle' value IN [Completed, Partial]</t>
        </is>
      </c>
      <c r="I7" s="25" t="inlineStr">
        <is>
          <t>Was E-MOTIVE bundle used | Misoprostol (400/600mcg orally) | Oxytocin 10 IU given | Uterine Massage</t>
        </is>
      </c>
      <c r="J7" s="25" t="inlineStr">
        <is>
          <t>Was E-MOTIVE bundle used: Yes/No; Individual components also recorded</t>
        </is>
      </c>
      <c r="K7" s="25" t="inlineStr">
        <is>
          <t>Labour &amp; Delivery encounter</t>
        </is>
      </c>
      <c r="L7" s="25" t="inlineStr">
        <is>
          <t>LABOUR &gt; Labour Details / Second Stage</t>
        </is>
      </c>
      <c r="M7" s="21" t="inlineStr">
        <is>
          <t>Fixable (name/value correction)</t>
        </is>
      </c>
      <c r="N7" s="25" t="inlineStr">
        <is>
          <t>Reports uses 'PPH treatment bundle'='Completed' but MAHIS has 'Was E-MOTIVE bundle used' (Yes/No). Concept name differs; the MAHIS E-MOTIVE concept covers the same clinical intent.</t>
        </is>
      </c>
      <c r="O7" s="25" t="inlineStr">
        <is>
          <t>Change reports to: concept_name='Was E-MOTIVE bundle used' AND obs_value_coded='Yes'. Denominator: same concept any value. Alternatively use composite of individual components (Oxytocin + Misoprostol + Uterine Massage all present).</t>
        </is>
      </c>
      <c r="P7" s="20" t="inlineStr">
        <is>
          <t>No</t>
        </is>
      </c>
    </row>
    <row r="8" ht="100" customHeight="1">
      <c r="A8" s="27" t="inlineStr">
        <is>
          <t>mnid_lab_006</t>
        </is>
      </c>
      <c r="B8" s="27" t="inlineStr">
        <is>
          <t>Labour</t>
        </is>
      </c>
      <c r="C8" s="27" t="inlineStr">
        <is>
          <t>Facility deliveries</t>
        </is>
      </c>
      <c r="D8" s="45" t="inlineStr">
        <is>
          <t>80%</t>
        </is>
      </c>
      <c r="E8" s="20" t="inlineStr">
        <is>
          <t>tracked</t>
        </is>
      </c>
      <c r="F8" s="27" t="inlineStr">
        <is>
          <t>Place of delivery</t>
        </is>
      </c>
      <c r="G8" s="27" t="inlineStr">
        <is>
          <t>This facility | this facility</t>
        </is>
      </c>
      <c r="H8" s="27" t="inlineStr">
        <is>
          <t>concept_name = 'Place of delivery' (any value)</t>
        </is>
      </c>
      <c r="I8" s="27" t="inlineStr">
        <is>
          <t>Place of delivery</t>
        </is>
      </c>
      <c r="J8" s="27" t="inlineStr">
        <is>
          <t>This facility | Other facility | Home | In transit | Other</t>
        </is>
      </c>
      <c r="K8" s="27" t="inlineStr">
        <is>
          <t>ANC Pregnant Outcome / Labour Delivery Details</t>
        </is>
      </c>
      <c r="L8" s="27" t="inlineStr">
        <is>
          <t>ANC &gt; Pregnant Outcome form; LABOUR &gt; Delivery Details</t>
        </is>
      </c>
      <c r="M8" s="30" t="inlineStr">
        <is>
          <t>Works as-is</t>
        </is>
      </c>
      <c r="N8" s="27" t="inlineStr">
        <is>
          <t>Concept name matches exactly. Values should match if 'This facility' is a valid option in MAHIS (verify casing — both 'This facility' and 'this facility' are handled in reports).</t>
        </is>
      </c>
      <c r="O8" s="27" t="inlineStr">
        <is>
          <t>No change needed. Verify 'Place of delivery' coded values in MAHIS match 'This facility' exactly (check case). Both ANC outcome and Labour delivery details forms use this concept.</t>
        </is>
      </c>
      <c r="P8" s="20" t="inlineStr">
        <is>
          <t>No</t>
        </is>
      </c>
    </row>
    <row r="9" ht="100" customHeight="1">
      <c r="A9" s="25" t="inlineStr">
        <is>
          <t>mnid_lab_007</t>
        </is>
      </c>
      <c r="B9" s="25" t="inlineStr">
        <is>
          <t>Labour</t>
        </is>
      </c>
      <c r="C9" s="25" t="inlineStr">
        <is>
          <t>Skilled delivery attendance</t>
        </is>
      </c>
      <c r="D9" s="44" t="inlineStr">
        <is>
          <t>80%</t>
        </is>
      </c>
      <c r="E9" s="20" t="inlineStr">
        <is>
          <t>tracked</t>
        </is>
      </c>
      <c r="F9" s="25" t="inlineStr">
        <is>
          <t>Staff conducting delivery</t>
        </is>
      </c>
      <c r="G9" s="25" t="inlineStr">
        <is>
          <t>(any value present = skilled attendant recorded)</t>
        </is>
      </c>
      <c r="H9" s="25" t="inlineStr">
        <is>
          <t>concept_name = 'Mode of delivery' (any value)</t>
        </is>
      </c>
      <c r="I9" s="25" t="inlineStr">
        <is>
          <t>Staff conducting delivery</t>
        </is>
      </c>
      <c r="J9" s="25" t="inlineStr">
        <is>
          <t>Various staff types (clinician, nurse, midwife, etc.)</t>
        </is>
      </c>
      <c r="K9" s="25" t="inlineStr">
        <is>
          <t>Labour &amp; Delivery encounter</t>
        </is>
      </c>
      <c r="L9" s="25" t="inlineStr">
        <is>
          <t>LABOUR &gt; Delivery Details</t>
        </is>
      </c>
      <c r="M9" s="30" t="inlineStr">
        <is>
          <t>Works as-is</t>
        </is>
      </c>
      <c r="N9" s="25" t="inlineStr">
        <is>
          <t>Concept name matches exactly. Denominator uses 'Mode of delivery' which also exists in MAHIS. This indicator should work.</t>
        </is>
      </c>
      <c r="O9" s="25" t="inlineStr">
        <is>
          <t>No change needed. Verify that 'Staff conducting delivery' concept is consistently populated for all deliveries.</t>
        </is>
      </c>
      <c r="P9" s="20" t="inlineStr">
        <is>
          <t>No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4" customWidth="1" min="5" max="5"/>
    <col width="26" customWidth="1" min="6" max="6"/>
    <col width="28" customWidth="1" min="7" max="7"/>
    <col width="28" customWidth="1" min="8" max="8"/>
    <col width="26" customWidth="1" min="9" max="9"/>
    <col width="38" customWidth="1" min="10" max="10"/>
    <col width="24" customWidth="1" min="11" max="11"/>
    <col width="30" customWidth="1" min="12" max="12"/>
    <col width="16" customWidth="1" min="13" max="13"/>
    <col width="55" customWidth="1" min="14" max="14"/>
    <col width="60" customWidth="1" min="15" max="15"/>
    <col width="22" customWidth="1" min="16" max="16"/>
  </cols>
  <sheetData>
    <row r="1" ht="32" customHeight="1">
      <c r="A1" s="46" t="inlineStr">
        <is>
          <t>MAHIS MNID Indicators — Newborn</t>
        </is>
      </c>
    </row>
    <row r="2" ht="36" customHeight="1">
      <c r="A2" s="17" t="inlineStr">
        <is>
          <t>Indicator ID</t>
        </is>
      </c>
      <c r="B2" s="17" t="inlineStr">
        <is>
          <t>Category</t>
        </is>
      </c>
      <c r="C2" s="17" t="inlineStr">
        <is>
          <t>Indicator Label</t>
        </is>
      </c>
      <c r="D2" s="17" t="inlineStr">
        <is>
          <t>Target %</t>
        </is>
      </c>
      <c r="E2" s="17" t="inlineStr">
        <is>
          <t>Reports Status</t>
        </is>
      </c>
      <c r="F2" s="17" t="inlineStr">
        <is>
          <t>Reports Concept Name</t>
        </is>
      </c>
      <c r="G2" s="17" t="inlineStr">
        <is>
          <t>Reports Expected Value</t>
        </is>
      </c>
      <c r="H2" s="17" t="inlineStr">
        <is>
          <t>Reports Denominator</t>
        </is>
      </c>
      <c r="I2" s="17" t="inlineStr">
        <is>
          <t>MAHIS Concept Name</t>
        </is>
      </c>
      <c r="J2" s="17" t="inlineStr">
        <is>
          <t>MAHIS Coded Values</t>
        </is>
      </c>
      <c r="K2" s="17" t="inlineStr">
        <is>
          <t>MAHIS Encounter Type</t>
        </is>
      </c>
      <c r="L2" s="17" t="inlineStr">
        <is>
          <t>MAHIS Form / Section</t>
        </is>
      </c>
      <c r="M2" s="17" t="inlineStr">
        <is>
          <t>Feasibility</t>
        </is>
      </c>
      <c r="N2" s="17" t="inlineStr">
        <is>
          <t>Gap / Issue</t>
        </is>
      </c>
      <c r="O2" s="17" t="inlineStr">
        <is>
          <t>Recommendation</t>
        </is>
      </c>
      <c r="P2" s="17" t="inlineStr">
        <is>
          <t>Requires Other System?</t>
        </is>
      </c>
    </row>
    <row r="3" ht="100" customHeight="1">
      <c r="A3" s="33" t="inlineStr">
        <is>
          <t>mnid_nb_001</t>
        </is>
      </c>
      <c r="B3" s="33" t="inlineStr">
        <is>
          <t>Newborn</t>
        </is>
      </c>
      <c r="C3" s="33" t="inlineStr">
        <is>
          <t>Neonatal resuscitation (eligible babies)</t>
        </is>
      </c>
      <c r="D3" s="47" t="inlineStr">
        <is>
          <t>80%</t>
        </is>
      </c>
      <c r="E3" s="20" t="inlineStr">
        <is>
          <t>tracked</t>
        </is>
      </c>
      <c r="F3" s="33" t="inlineStr">
        <is>
          <t>Neonatal resuscitation provided</t>
        </is>
      </c>
      <c r="G3" s="33" t="inlineStr">
        <is>
          <t>Yes | Stimulation only | Bag and mask</t>
        </is>
      </c>
      <c r="H3" s="33" t="inlineStr">
        <is>
          <t>concept_name='Eligible for neonatal resuscitation'='Yes'</t>
        </is>
      </c>
      <c r="I3" s="33" t="inlineStr">
        <is>
          <t>Management given to newborn</t>
        </is>
      </c>
      <c r="J3" s="33" t="inlineStr">
        <is>
          <t>None | Routine newborn care | Kangaroo mother care | Antibiotics | Resuscitation | Oxygen Therapy | Photo Therapy | CPAP | Other</t>
        </is>
      </c>
      <c r="K3" s="33" t="inlineStr">
        <is>
          <t>Labour &amp; Delivery / Newborn Details</t>
        </is>
      </c>
      <c r="L3" s="33" t="inlineStr">
        <is>
          <t>LABOUR &gt; Labour Details &gt; Newborn Details</t>
        </is>
      </c>
      <c r="M3" s="21" t="inlineStr">
        <is>
          <t>Fixable (name/value correction)</t>
        </is>
      </c>
      <c r="N3" s="33" t="inlineStr">
        <is>
          <t>Reports expects 'Neonatal resuscitation provided' and 'Eligible for neonatal resuscitation' concepts — neither exists in MAHIS. MAHIS uses 'Management given to newborn'='Resuscitation' (no Yes/Stimulation/Bag-mask breakdown). Eligibility concept also absent.</t>
        </is>
      </c>
      <c r="O3" s="33" t="inlineStr">
        <is>
          <t>For basic tracking: concept_name='Management given to newborn' AND obs_value_coded='Resuscitation'. For denominator, use babies with 'Baby general condition at birth' != 'Good' OR birth APGAR &lt; threshold. Note: resuscitation type detail (stimulation only vs bag-mask) not captured in MAHIS.</t>
        </is>
      </c>
      <c r="P3" s="20" t="inlineStr">
        <is>
          <t>No — but resuscitation type detail is not captured in MAHIS</t>
        </is>
      </c>
    </row>
    <row r="4" ht="100" customHeight="1">
      <c r="A4" s="31" t="inlineStr">
        <is>
          <t>mnid_nb_002</t>
        </is>
      </c>
      <c r="B4" s="31" t="inlineStr">
        <is>
          <t>Newborn</t>
        </is>
      </c>
      <c r="C4" s="31" t="inlineStr">
        <is>
          <t>iKMC (preterm / low birth-weight babies)</t>
        </is>
      </c>
      <c r="D4" s="48" t="inlineStr">
        <is>
          <t>80%</t>
        </is>
      </c>
      <c r="E4" s="20" t="inlineStr">
        <is>
          <t>tracked</t>
        </is>
      </c>
      <c r="F4" s="31" t="inlineStr">
        <is>
          <t>iKMC initiated</t>
        </is>
      </c>
      <c r="G4" s="31" t="inlineStr">
        <is>
          <t>Yes</t>
        </is>
      </c>
      <c r="H4" s="31" t="inlineStr">
        <is>
          <t>concept_name='iKMC initiated' value IN [Yes, No]</t>
        </is>
      </c>
      <c r="I4" s="31" t="inlineStr">
        <is>
          <t>Management given to newborn</t>
        </is>
      </c>
      <c r="J4" s="31" t="inlineStr">
        <is>
          <t>Kangaroo mother care (among others)</t>
        </is>
      </c>
      <c r="K4" s="31" t="inlineStr">
        <is>
          <t>Labour &amp; Delivery / Newborn Details</t>
        </is>
      </c>
      <c r="L4" s="31" t="inlineStr">
        <is>
          <t>LABOUR &gt; Labour Details &gt; Newborn Details</t>
        </is>
      </c>
      <c r="M4" s="21" t="inlineStr">
        <is>
          <t>Fixable (name/value correction)</t>
        </is>
      </c>
      <c r="N4" s="31" t="inlineStr">
        <is>
          <t>Reports uses 'iKMC initiated'='Yes' but MAHIS has no such concept. KMC is captured as 'Management given to newborn'='Kangaroo mother care'. Denominator (preterm/LBW) not explicit but 'Baby Birthweight' and gestational age data exist.</t>
        </is>
      </c>
      <c r="O4" s="31" t="inlineStr">
        <is>
          <t>Change to: concept_name='Management given to newborn' AND obs_value_coded='Kangaroo mother care'. Denominator: babies with 'Baby Birthweight' &lt; 2500g OR 'Gestation weeks' &lt; 37. Requires weight/GA filter join.</t>
        </is>
      </c>
      <c r="P4" s="20" t="inlineStr">
        <is>
          <t>No</t>
        </is>
      </c>
    </row>
    <row r="5" ht="100" customHeight="1">
      <c r="A5" s="33" t="inlineStr">
        <is>
          <t>mnid_nb_003</t>
        </is>
      </c>
      <c r="B5" s="33" t="inlineStr">
        <is>
          <t>Newborn</t>
        </is>
      </c>
      <c r="C5" s="33" t="inlineStr">
        <is>
          <t>Prophylactic CPAP (1000–1499g babies)</t>
        </is>
      </c>
      <c r="D5" s="47" t="inlineStr">
        <is>
          <t>80%</t>
        </is>
      </c>
      <c r="E5" s="20" t="inlineStr">
        <is>
          <t>tracked</t>
        </is>
      </c>
      <c r="F5" s="33" t="inlineStr">
        <is>
          <t>CPAP support</t>
        </is>
      </c>
      <c r="G5" s="33" t="inlineStr">
        <is>
          <t>Bubble CPAP | Nasal oxygen</t>
        </is>
      </c>
      <c r="H5" s="33" t="inlineStr">
        <is>
          <t>concept_name = 'CPAP support' (any value)</t>
        </is>
      </c>
      <c r="I5" s="33" t="inlineStr">
        <is>
          <t>Management given to newborn</t>
        </is>
      </c>
      <c r="J5" s="33" t="inlineStr">
        <is>
          <t>CPAP(Continuous Positive  Airway Pressure) (among others)</t>
        </is>
      </c>
      <c r="K5" s="33" t="inlineStr">
        <is>
          <t>Labour &amp; Delivery / Newborn Details</t>
        </is>
      </c>
      <c r="L5" s="33" t="inlineStr">
        <is>
          <t>LABOUR &gt; Labour Details &gt; Newborn Details</t>
        </is>
      </c>
      <c r="M5" s="35" t="inlineStr">
        <is>
          <t>Partial (data exists, incomplete)</t>
        </is>
      </c>
      <c r="N5" s="33" t="inlineStr">
        <is>
          <t>Reports uses 'CPAP support' concept with type breakdown (Bubble CPAP/Nasal O2) — neither exists. MAHIS only has 'Management given to newborn'='CPAP...' with no type detail. Birth weight band filter (1000–1499g) requires joining 'Baby Birthweight' numeric.</t>
        </is>
      </c>
      <c r="O5" s="33" t="inlineStr">
        <is>
          <t>Basic CPAP tracking: concept_name='Management given to newborn' AND obs_value_coded LIKE '%CPAP%'. Weight band 1000–1499g: add filter on 'Baby Birthweight' numeric value. CPAP type (Bubble vs Nasal) is not captured — partial coverage only.</t>
        </is>
      </c>
      <c r="P5" s="20" t="inlineStr">
        <is>
          <t>No — but CPAP type detail and birth weight band logic are limitations</t>
        </is>
      </c>
    </row>
    <row r="6" ht="100" customHeight="1">
      <c r="A6" s="31" t="inlineStr">
        <is>
          <t>mnid_nb_004</t>
        </is>
      </c>
      <c r="B6" s="31" t="inlineStr">
        <is>
          <t>Newborn</t>
        </is>
      </c>
      <c r="C6" s="31" t="inlineStr">
        <is>
          <t>CPAP for eligible babies (1500–1999g)</t>
        </is>
      </c>
      <c r="D6" s="48" t="inlineStr">
        <is>
          <t>80%</t>
        </is>
      </c>
      <c r="E6" s="24" t="inlineStr">
        <is>
          <t>awaiting_baseline</t>
        </is>
      </c>
      <c r="F6" s="31" t="inlineStr">
        <is>
          <t>CPAP support</t>
        </is>
      </c>
      <c r="G6" s="31" t="inlineStr">
        <is>
          <t>Bubble CPAP | Nasal oxygen</t>
        </is>
      </c>
      <c r="H6" s="31" t="inlineStr">
        <is>
          <t>Birth weight 1500–1999g cohort</t>
        </is>
      </c>
      <c r="I6" s="31" t="inlineStr">
        <is>
          <t>Management given to newborn | Baby Birthweight</t>
        </is>
      </c>
      <c r="J6" s="31" t="inlineStr">
        <is>
          <t>CPAP(Continuous Positive Airway Pressure) | numeric weight (kg)</t>
        </is>
      </c>
      <c r="K6" s="31" t="inlineStr">
        <is>
          <t>Labour &amp; Delivery / Newborn Details</t>
        </is>
      </c>
      <c r="L6" s="31" t="inlineStr">
        <is>
          <t>LABOUR &gt; Labour Details &gt; Newborn Details</t>
        </is>
      </c>
      <c r="M6" s="35" t="inlineStr">
        <is>
          <t>Partial (data exists, incomplete)</t>
        </is>
      </c>
      <c r="N6" s="31" t="inlineStr">
        <is>
          <t>Same issues as mnid_nb_003 with weight band 1500–1999g. Reports notes: 'Birth weight not yet captured as a distinct filterable concept' — but MAHIS does have 'Baby Birthweight' numeric concept.</t>
        </is>
      </c>
      <c r="O6" s="31" t="inlineStr">
        <is>
          <t>Same as mnid_nb_003 but filter 'Baby Birthweight' between 1.5 and 1.999 kg (or 1500–1999g). Inform reports project that 'Baby Birthweight' IS available in MAHIS as a numeric concept — update awaiting_baseline note.</t>
        </is>
      </c>
      <c r="P6" s="20" t="inlineStr">
        <is>
          <t>No — Baby Birthweight IS captured in MAHIS Labour</t>
        </is>
      </c>
    </row>
    <row r="7" ht="100" customHeight="1">
      <c r="A7" s="33" t="inlineStr">
        <is>
          <t>mnid_nb_005</t>
        </is>
      </c>
      <c r="B7" s="33" t="inlineStr">
        <is>
          <t>Newborn</t>
        </is>
      </c>
      <c r="C7" s="33" t="inlineStr">
        <is>
          <t>Phototherapy for jaundice</t>
        </is>
      </c>
      <c r="D7" s="47" t="inlineStr">
        <is>
          <t>80%</t>
        </is>
      </c>
      <c r="E7" s="20" t="inlineStr">
        <is>
          <t>tracked</t>
        </is>
      </c>
      <c r="F7" s="33" t="inlineStr">
        <is>
          <t>Phototherapy given</t>
        </is>
      </c>
      <c r="G7" s="33" t="inlineStr">
        <is>
          <t>Yes</t>
        </is>
      </c>
      <c r="H7" s="33" t="inlineStr">
        <is>
          <t>concept_name = 'Phototherapy given' (any value)</t>
        </is>
      </c>
      <c r="I7" s="33" t="inlineStr">
        <is>
          <t>Management given to newborn</t>
        </is>
      </c>
      <c r="J7" s="33" t="inlineStr">
        <is>
          <t>Photo Therapy (among others)</t>
        </is>
      </c>
      <c r="K7" s="33" t="inlineStr">
        <is>
          <t>Labour &amp; Delivery / Newborn Details</t>
        </is>
      </c>
      <c r="L7" s="33" t="inlineStr">
        <is>
          <t>LABOUR &gt; Labour Details &gt; Newborn Details</t>
        </is>
      </c>
      <c r="M7" s="21" t="inlineStr">
        <is>
          <t>Fixable (name/value correction)</t>
        </is>
      </c>
      <c r="N7" s="33" t="inlineStr">
        <is>
          <t>Reports uses 'Phototherapy given'='Yes' but MAHIS records 'Management given to newborn'='Photo Therapy'. Concept name and value structure differ. Denominator (babies with jaundice) not explicitly captured — 'Jaundice' concept exists in MAHIS Labour but linkage needed.</t>
        </is>
      </c>
      <c r="O7" s="33" t="inlineStr">
        <is>
          <t>Change to: concept_name='Management given to newborn' AND obs_value_coded='Photo Therapy'. Denominator: babies with 'Jaundice' diagnosis OR all newborns (broader denominator). Verify 'Jaundice' concept exists in MAHIS as a newborn complication.</t>
        </is>
      </c>
      <c r="P7" s="20" t="inlineStr">
        <is>
          <t>No</t>
        </is>
      </c>
    </row>
    <row r="8" ht="100" customHeight="1">
      <c r="A8" s="31" t="inlineStr">
        <is>
          <t>mnid_nb_006</t>
        </is>
      </c>
      <c r="B8" s="31" t="inlineStr">
        <is>
          <t>Newborn</t>
        </is>
      </c>
      <c r="C8" s="31" t="inlineStr">
        <is>
          <t>Parenteral antibiotics for neonatal sepsis</t>
        </is>
      </c>
      <c r="D8" s="48" t="inlineStr">
        <is>
          <t>80%</t>
        </is>
      </c>
      <c r="E8" s="20" t="inlineStr">
        <is>
          <t>tracked</t>
        </is>
      </c>
      <c r="F8" s="31" t="inlineStr">
        <is>
          <t>Parenteral antibiotics given</t>
        </is>
      </c>
      <c r="G8" s="31" t="inlineStr">
        <is>
          <t>Yes</t>
        </is>
      </c>
      <c r="H8" s="31" t="inlineStr">
        <is>
          <t>concept_name = 'Parenteral antibiotics given' (any value)</t>
        </is>
      </c>
      <c r="I8" s="31" t="inlineStr">
        <is>
          <t>Management given to newborn</t>
        </is>
      </c>
      <c r="J8" s="31" t="inlineStr">
        <is>
          <t>Antibiotics (among others — does not specify parenteral/oral route)</t>
        </is>
      </c>
      <c r="K8" s="31" t="inlineStr">
        <is>
          <t>Labour &amp; Delivery / Newborn Details</t>
        </is>
      </c>
      <c r="L8" s="31" t="inlineStr">
        <is>
          <t>LABOUR &gt; Labour Details &gt; Newborn Details</t>
        </is>
      </c>
      <c r="M8" s="35" t="inlineStr">
        <is>
          <t>Partial (data exists, incomplete)</t>
        </is>
      </c>
      <c r="N8" s="31" t="inlineStr">
        <is>
          <t>Reports uses 'Parenteral antibiotics given'='Yes' but MAHIS only records 'Antibiotics' under 'Management given to newborn' without specifying route (parenteral vs oral). This is a clinical data quality gap.</t>
        </is>
      </c>
      <c r="O8" s="31" t="inlineStr">
        <is>
          <t>Short-term: use concept_name='Management given to newborn' AND obs_value_coded='Antibiotics' as a proxy. Long-term: update MAHIS Newborn Details form to add antibiotic route (parenteral/oral) as a separate field for accurate indicator tracking.</t>
        </is>
      </c>
      <c r="P8" s="20" t="inlineStr">
        <is>
          <t>No — but antibiotic route detail must be added to MAHIS</t>
        </is>
      </c>
    </row>
    <row r="9" ht="100" customHeight="1">
      <c r="A9" s="33" t="inlineStr">
        <is>
          <t>mnid_nb_007</t>
        </is>
      </c>
      <c r="B9" s="33" t="inlineStr">
        <is>
          <t>Newborn</t>
        </is>
      </c>
      <c r="C9" s="33" t="inlineStr">
        <is>
          <t>Not hypothermic on NNU admission</t>
        </is>
      </c>
      <c r="D9" s="47" t="inlineStr">
        <is>
          <t>80%</t>
        </is>
      </c>
      <c r="E9" s="20" t="inlineStr">
        <is>
          <t>tracked</t>
        </is>
      </c>
      <c r="F9" s="33" t="inlineStr">
        <is>
          <t>Thermal status on admission</t>
        </is>
      </c>
      <c r="G9" s="33" t="inlineStr">
        <is>
          <t>Not hypothermic</t>
        </is>
      </c>
      <c r="H9" s="33" t="inlineStr">
        <is>
          <t>concept_name = 'Thermal status on admission' (any value)</t>
        </is>
      </c>
      <c r="I9" s="33" t="inlineStr">
        <is>
          <t>NOT FOUND IN MAHIS</t>
        </is>
      </c>
      <c r="J9" s="33" t="inlineStr">
        <is>
          <t>N/A</t>
        </is>
      </c>
      <c r="K9" s="33" t="inlineStr">
        <is>
          <t>N/A — NNU admission not tracked in MAHIS</t>
        </is>
      </c>
      <c r="L9" s="33" t="inlineStr">
        <is>
          <t>N/A — MAHIS has no NNU (Neonatal Unit) admission module</t>
        </is>
      </c>
      <c r="M9" s="36" t="inlineStr">
        <is>
          <t>Requires external/other system</t>
        </is>
      </c>
      <c r="N9" s="33" t="inlineStr">
        <is>
          <t>Concept 'Thermal status on admission' does not exist anywhere in MAHIS ANC, Labour, or PNC modules. This indicator requires a dedicated Neonatal Unit (NNU) system with admission records including temperature on arrival.</t>
        </is>
      </c>
      <c r="O9" s="33" t="inlineStr">
        <is>
          <t>This indicator requires a separate NNU/Special Care Baby Unit (SCBU) information system or a dedicated Neonatal module in MAHIS. Cannot be tracked from current MAHIS data. Mark as 'Requires NNU System' in the reports dashboard.</t>
        </is>
      </c>
      <c r="P9" s="29" t="inlineStr">
        <is>
          <t>YES — Requires dedicated NNU/SCBU information system</t>
        </is>
      </c>
    </row>
    <row r="10" ht="100" customHeight="1">
      <c r="A10" s="31" t="inlineStr">
        <is>
          <t>mnid_nb_008</t>
        </is>
      </c>
      <c r="B10" s="31" t="inlineStr">
        <is>
          <t>Newborn</t>
        </is>
      </c>
      <c r="C10" s="31" t="inlineStr">
        <is>
          <t>Not hypothermic at any time (NNU stay)</t>
        </is>
      </c>
      <c r="D10" s="48" t="inlineStr">
        <is>
          <t>80%</t>
        </is>
      </c>
      <c r="E10" s="24" t="inlineStr">
        <is>
          <t>awaiting_baseline</t>
        </is>
      </c>
      <c r="F10" s="31" t="inlineStr">
        <is>
          <t>Longitudinal temperature monitoring</t>
        </is>
      </c>
      <c r="G10" s="31" t="inlineStr">
        <is>
          <t>All readings within normal range throughout NNU stay</t>
        </is>
      </c>
      <c r="H10" s="31" t="inlineStr">
        <is>
          <t>All NNU admission records (with serial temperature readings)</t>
        </is>
      </c>
      <c r="I10" s="31" t="inlineStr">
        <is>
          <t>NOT FOUND IN MAHIS</t>
        </is>
      </c>
      <c r="J10" s="31" t="inlineStr">
        <is>
          <t>N/A</t>
        </is>
      </c>
      <c r="K10" s="31" t="inlineStr">
        <is>
          <t>N/A — No NNU ward monitoring in MAHIS</t>
        </is>
      </c>
      <c r="L10" s="31" t="inlineStr">
        <is>
          <t>N/A — MAHIS has no NNU ward stay / repeated temperature monitoring</t>
        </is>
      </c>
      <c r="M10" s="36" t="inlineStr">
        <is>
          <t>Requires external/other system</t>
        </is>
      </c>
      <c r="N10" s="31" t="inlineStr">
        <is>
          <t>Requires longitudinal serial temperature recordings during NNU stay. MAHIS has no NNU inpatient ward module. This is a complex time-series indicator requiring NNU-specific systems.</t>
        </is>
      </c>
      <c r="O10" s="31" t="inlineStr">
        <is>
          <t>Same as mnid_nb_007 — requires dedicated NNU system. Additionally requires time-series logic across multiple temperature readings. Cannot be implemented with current MAHIS architecture.</t>
        </is>
      </c>
      <c r="P10" s="29" t="inlineStr">
        <is>
          <t>YES — Requires dedicated NNU/SCBU system with ward monitoring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9" customWidth="1" min="4" max="4"/>
    <col width="14" customWidth="1" min="5" max="5"/>
    <col width="26" customWidth="1" min="6" max="6"/>
    <col width="28" customWidth="1" min="7" max="7"/>
    <col width="28" customWidth="1" min="8" max="8"/>
    <col width="26" customWidth="1" min="9" max="9"/>
    <col width="38" customWidth="1" min="10" max="10"/>
    <col width="24" customWidth="1" min="11" max="11"/>
    <col width="30" customWidth="1" min="12" max="12"/>
    <col width="16" customWidth="1" min="13" max="13"/>
    <col width="55" customWidth="1" min="14" max="14"/>
    <col width="60" customWidth="1" min="15" max="15"/>
    <col width="22" customWidth="1" min="16" max="16"/>
  </cols>
  <sheetData>
    <row r="1" ht="32" customHeight="1">
      <c r="A1" s="49" t="inlineStr">
        <is>
          <t>MAHIS MNID Indicators — PNC</t>
        </is>
      </c>
    </row>
    <row r="2" ht="36" customHeight="1">
      <c r="A2" s="17" t="inlineStr">
        <is>
          <t>Indicator ID</t>
        </is>
      </c>
      <c r="B2" s="17" t="inlineStr">
        <is>
          <t>Category</t>
        </is>
      </c>
      <c r="C2" s="17" t="inlineStr">
        <is>
          <t>Indicator Label</t>
        </is>
      </c>
      <c r="D2" s="17" t="inlineStr">
        <is>
          <t>Target %</t>
        </is>
      </c>
      <c r="E2" s="17" t="inlineStr">
        <is>
          <t>Reports Status</t>
        </is>
      </c>
      <c r="F2" s="17" t="inlineStr">
        <is>
          <t>Reports Concept Name</t>
        </is>
      </c>
      <c r="G2" s="17" t="inlineStr">
        <is>
          <t>Reports Expected Value</t>
        </is>
      </c>
      <c r="H2" s="17" t="inlineStr">
        <is>
          <t>Reports Denominator</t>
        </is>
      </c>
      <c r="I2" s="17" t="inlineStr">
        <is>
          <t>MAHIS Concept Name</t>
        </is>
      </c>
      <c r="J2" s="17" t="inlineStr">
        <is>
          <t>MAHIS Coded Values</t>
        </is>
      </c>
      <c r="K2" s="17" t="inlineStr">
        <is>
          <t>MAHIS Encounter Type</t>
        </is>
      </c>
      <c r="L2" s="17" t="inlineStr">
        <is>
          <t>MAHIS Form / Section</t>
        </is>
      </c>
      <c r="M2" s="17" t="inlineStr">
        <is>
          <t>Feasibility</t>
        </is>
      </c>
      <c r="N2" s="17" t="inlineStr">
        <is>
          <t>Gap / Issue</t>
        </is>
      </c>
      <c r="O2" s="17" t="inlineStr">
        <is>
          <t>Recommendation</t>
        </is>
      </c>
      <c r="P2" s="17" t="inlineStr">
        <is>
          <t>Requires Other System?</t>
        </is>
      </c>
    </row>
    <row r="3" ht="100" customHeight="1">
      <c r="A3" s="39" t="inlineStr">
        <is>
          <t>mnid_pnc_001</t>
        </is>
      </c>
      <c r="B3" s="39" t="inlineStr">
        <is>
          <t>PNC</t>
        </is>
      </c>
      <c r="C3" s="39" t="inlineStr">
        <is>
          <t>PNC mothers seen within 48 hours</t>
        </is>
      </c>
      <c r="D3" s="50" t="inlineStr">
        <is>
          <t>80%</t>
        </is>
      </c>
      <c r="E3" s="20" t="inlineStr">
        <is>
          <t>tracked</t>
        </is>
      </c>
      <c r="F3" s="39" t="inlineStr">
        <is>
          <t>Postnatal check period</t>
        </is>
      </c>
      <c r="G3" s="39" t="inlineStr">
        <is>
          <t>Up to 48 hrs or before discharge</t>
        </is>
      </c>
      <c r="H3" s="39" t="inlineStr">
        <is>
          <t>concept_name = 'Postnatal check period' (any value)</t>
        </is>
      </c>
      <c r="I3" s="39" t="inlineStr">
        <is>
          <t>Postnatal check period</t>
        </is>
      </c>
      <c r="J3" s="39" t="inlineStr">
        <is>
          <t>Up to 48 hrs or before discharge | 3-7 days | 8-42 days | After 6 weeks</t>
        </is>
      </c>
      <c r="K3" s="39" t="inlineStr">
        <is>
          <t>PNC Visit (encounter_type 204)</t>
        </is>
      </c>
      <c r="L3" s="39" t="inlineStr">
        <is>
          <t>PNC &gt; Postnatal Visits &gt; Visit for Mother</t>
        </is>
      </c>
      <c r="M3" s="30" t="inlineStr">
        <is>
          <t>Works as-is</t>
        </is>
      </c>
      <c r="N3" s="39" t="inlineStr">
        <is>
          <t>Perfect match — concept name and coded value are identical in MAHIS and reports config.</t>
        </is>
      </c>
      <c r="O3" s="39" t="inlineStr">
        <is>
          <t>No changes needed. This indicator is correctly configured.</t>
        </is>
      </c>
      <c r="P3" s="20" t="inlineStr">
        <is>
          <t>No</t>
        </is>
      </c>
    </row>
    <row r="4" ht="100" customHeight="1">
      <c r="A4" s="37" t="inlineStr">
        <is>
          <t>mnid_pnc_002</t>
        </is>
      </c>
      <c r="B4" s="37" t="inlineStr">
        <is>
          <t>PNC</t>
        </is>
      </c>
      <c r="C4" s="37" t="inlineStr">
        <is>
          <t>BCG vaccination coverage</t>
        </is>
      </c>
      <c r="D4" s="51" t="inlineStr">
        <is>
          <t>90%</t>
        </is>
      </c>
      <c r="E4" s="20" t="inlineStr">
        <is>
          <t>tracked</t>
        </is>
      </c>
      <c r="F4" s="37" t="inlineStr">
        <is>
          <t>Type of immunization the baby received | Immunisation given</t>
        </is>
      </c>
      <c r="G4" s="37" t="inlineStr">
        <is>
          <t>BCG | bcg</t>
        </is>
      </c>
      <c r="H4" s="37" t="inlineStr">
        <is>
          <t>same concepts (any value)</t>
        </is>
      </c>
      <c r="I4" s="37" t="inlineStr">
        <is>
          <t>Type of immunization the baby received</t>
        </is>
      </c>
      <c r="J4" s="37" t="inlineStr">
        <is>
          <t>BCG | Polio 0</t>
        </is>
      </c>
      <c r="K4" s="37" t="inlineStr">
        <is>
          <t>PNC Visit (encounter_type 204)</t>
        </is>
      </c>
      <c r="L4" s="37" t="inlineStr">
        <is>
          <t>PNC &gt; Postnatal Visits &gt; Visit for Baby</t>
        </is>
      </c>
      <c r="M4" s="30" t="inlineStr">
        <is>
          <t>Works as-is</t>
        </is>
      </c>
      <c r="N4" s="37" t="inlineStr">
        <is>
          <t>Concept name matches. 'BCG' value matches (reports handles both 'BCG' and 'bcg'). MAHIS uses 'Type of immunization the baby received' which is in the reports list.</t>
        </is>
      </c>
      <c r="O4" s="37" t="inlineStr">
        <is>
          <t>No changes needed. Verify that 'Immunisation given' concept is also used in any other PNC forms for completeness (it may be used in Labour postnatal checks).</t>
        </is>
      </c>
      <c r="P4" s="20" t="inlineStr">
        <is>
          <t>No</t>
        </is>
      </c>
    </row>
    <row r="5" ht="100" customHeight="1">
      <c r="A5" s="39" t="inlineStr">
        <is>
          <t>mnid_pnc_003</t>
        </is>
      </c>
      <c r="B5" s="39" t="inlineStr">
        <is>
          <t>PNC</t>
        </is>
      </c>
      <c r="C5" s="39" t="inlineStr">
        <is>
          <t>Exclusive breastfeeding</t>
        </is>
      </c>
      <c r="D5" s="50" t="inlineStr">
        <is>
          <t>80%</t>
        </is>
      </c>
      <c r="E5" s="20" t="inlineStr">
        <is>
          <t>tracked</t>
        </is>
      </c>
      <c r="F5" s="39" t="inlineStr">
        <is>
          <t>Breast feeding</t>
        </is>
      </c>
      <c r="G5" s="39" t="inlineStr">
        <is>
          <t>Exclusive | exclusive breastfeeding</t>
        </is>
      </c>
      <c r="H5" s="39" t="inlineStr">
        <is>
          <t>concept_name = 'Breast feeding' (any value)</t>
        </is>
      </c>
      <c r="I5" s="39" t="inlineStr">
        <is>
          <t>Breast feeding</t>
        </is>
      </c>
      <c r="J5" s="39" t="inlineStr">
        <is>
          <t>Exclusive | Non Exclusive | Not breastfeeding/Formula</t>
        </is>
      </c>
      <c r="K5" s="39" t="inlineStr">
        <is>
          <t>PNC Visit (encounter_type 204)</t>
        </is>
      </c>
      <c r="L5" s="39" t="inlineStr">
        <is>
          <t>PNC &gt; Postnatal Visits &gt; Visit for Mother</t>
        </is>
      </c>
      <c r="M5" s="30" t="inlineStr">
        <is>
          <t>Works as-is</t>
        </is>
      </c>
      <c r="N5" s="39" t="inlineStr">
        <is>
          <t>Concept name matches. MAHIS value is 'Exclusive' which is in the reports value list. 'exclusive breastfeeding' is handled as a case variant but is not needed since MAHIS uses 'Exclusive'.</t>
        </is>
      </c>
      <c r="O5" s="39" t="inlineStr">
        <is>
          <t>No changes needed. This indicator is correctly configured.</t>
        </is>
      </c>
      <c r="P5" s="20" t="inlineStr">
        <is>
          <t>No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9" customWidth="1" min="4" max="4"/>
    <col width="18" customWidth="1" min="5" max="5"/>
    <col width="34" customWidth="1" min="6" max="6"/>
    <col width="28" customWidth="1" min="7" max="7"/>
    <col width="22" customWidth="1" min="8" max="8"/>
    <col width="48" customWidth="1" min="9" max="9"/>
    <col width="34" customWidth="1" min="10" max="10"/>
    <col width="28" customWidth="1" min="11" max="11"/>
    <col width="22" customWidth="1" min="12" max="12"/>
    <col width="48" customWidth="1" min="13" max="13"/>
    <col width="24" customWidth="1" min="14" max="14"/>
    <col width="30" customWidth="1" min="15" max="15"/>
    <col width="40" customWidth="1" min="16" max="16"/>
    <col width="42" customWidth="1" min="17" max="17"/>
  </cols>
  <sheetData>
    <row r="1" ht="34" customHeight="1">
      <c r="A1" s="16" t="inlineStr">
        <is>
          <t>MAHIS MNID — Indicator Calculations (Actual Concept Names &amp; Formulas)</t>
        </is>
      </c>
    </row>
    <row r="2" ht="36" customHeight="1">
      <c r="A2" s="52" t="inlineStr">
        <is>
          <t>ID</t>
        </is>
      </c>
      <c r="B2" s="52" t="inlineStr">
        <is>
          <t>Category</t>
        </is>
      </c>
      <c r="C2" s="52" t="inlineStr">
        <is>
          <t>Indicator</t>
        </is>
      </c>
      <c r="D2" s="52" t="inlineStr">
        <is>
          <t>Target %</t>
        </is>
      </c>
      <c r="E2" s="52" t="inlineStr">
        <is>
          <t>Feasibility</t>
        </is>
      </c>
      <c r="F2" s="52" t="inlineStr">
        <is>
          <t>MAHIS Concept — Numerator</t>
        </is>
      </c>
      <c r="G2" s="52" t="inlineStr">
        <is>
          <t>MAHIS Value — Numerator</t>
        </is>
      </c>
      <c r="H2" s="52" t="inlineStr">
        <is>
          <t>Encounter — Numerator</t>
        </is>
      </c>
      <c r="I2" s="52" t="inlineStr">
        <is>
          <t>NUMERATOR Formula</t>
        </is>
      </c>
      <c r="J2" s="52" t="inlineStr">
        <is>
          <t>MAHIS Concept — Denominator</t>
        </is>
      </c>
      <c r="K2" s="52" t="inlineStr">
        <is>
          <t>MAHIS Value — Denominator</t>
        </is>
      </c>
      <c r="L2" s="52" t="inlineStr">
        <is>
          <t>Encounter — Denominator</t>
        </is>
      </c>
      <c r="M2" s="52" t="inlineStr">
        <is>
          <t>DENOMINATOR Formula</t>
        </is>
      </c>
      <c r="N2" s="52" t="inlineStr">
        <is>
          <t>Coverage % Formula</t>
        </is>
      </c>
      <c r="O2" s="52" t="inlineStr">
        <is>
          <t>Reports Concept (existing)</t>
        </is>
      </c>
      <c r="P2" s="52" t="inlineStr">
        <is>
          <t>Gap vs Reports</t>
        </is>
      </c>
      <c r="Q2" s="52" t="inlineStr">
        <is>
          <t>Recommendation</t>
        </is>
      </c>
    </row>
    <row r="3" ht="90" customHeight="1">
      <c r="A3" s="53" t="inlineStr">
        <is>
          <t>mnid_anc_001</t>
        </is>
      </c>
      <c r="B3" s="54" t="inlineStr">
        <is>
          <t>ANC</t>
        </is>
      </c>
      <c r="C3" s="55" t="inlineStr">
        <is>
          <t>ANC screened for anaemia</t>
        </is>
      </c>
      <c r="D3" s="56" t="inlineStr">
        <is>
          <t>80%</t>
        </is>
      </c>
      <c r="E3" s="57" t="inlineStr">
        <is>
          <t>Fixable</t>
        </is>
      </c>
      <c r="F3" s="58" t="inlineStr">
        <is>
          <t>Hb(g/dL)</t>
        </is>
      </c>
      <c r="G3" s="59" t="inlineStr">
        <is>
          <t>!= 'Not Done'</t>
        </is>
      </c>
      <c r="H3" s="60" t="inlineStr">
        <is>
          <t>ANC VISIT</t>
        </is>
      </c>
      <c r="I3" s="61" t="inlineStr">
        <is>
          <t>COUNT DISTINCT person_id
WHERE Program='ANC PROGRAM'
  AND concept_name='Hb(g/dL)'
  AND obs_value_coded &lt;&gt; 'Not Done'</t>
        </is>
      </c>
      <c r="J3" s="58" t="inlineStr">
        <is>
          <t>Hb(g/dL)</t>
        </is>
      </c>
      <c r="K3" s="59" t="inlineStr">
        <is>
          <t>(any value)</t>
        </is>
      </c>
      <c r="L3" s="60" t="inlineStr">
        <is>
          <t>ANC VISIT</t>
        </is>
      </c>
      <c r="M3" s="61" t="inlineStr">
        <is>
          <t>COUNT DISTINCT person_id
WHERE Program='ANC PROGRAM'
  AND concept_name='Hb(g/dL)'</t>
        </is>
      </c>
      <c r="N3" s="62" t="inlineStr">
        <is>
          <t>(N ÷ D) × 100</t>
        </is>
      </c>
      <c r="O3" s="55" t="inlineStr">
        <is>
          <t>Anemia screening</t>
        </is>
      </c>
      <c r="P3" s="63" t="inlineStr">
        <is>
          <t>Reports uses 'Anemia screening'='Screened' — concept absent in MAHIS</t>
        </is>
      </c>
      <c r="Q3" s="64" t="inlineStr">
        <is>
          <t>Use 'Hb(g/dL)' != 'Not Done' as numerator; 'Hb(g/dL)' any value as denominator</t>
        </is>
      </c>
    </row>
    <row r="4" ht="90" customHeight="1">
      <c r="A4" s="65" t="inlineStr">
        <is>
          <t>mnid_anc_002</t>
        </is>
      </c>
      <c r="B4" s="54" t="inlineStr">
        <is>
          <t>ANC</t>
        </is>
      </c>
      <c r="C4" s="66" t="inlineStr">
        <is>
          <t>ANC screened for infection</t>
        </is>
      </c>
      <c r="D4" s="67" t="inlineStr">
        <is>
          <t>80%</t>
        </is>
      </c>
      <c r="E4" s="68" t="inlineStr">
        <is>
          <t>Complex — composite logic</t>
        </is>
      </c>
      <c r="F4" s="58" t="inlineStr">
        <is>
          <t>Syphilis Test Result OR Hepatitis B</t>
        </is>
      </c>
      <c r="G4" s="59" t="inlineStr">
        <is>
          <t>!= 'Not Done'</t>
        </is>
      </c>
      <c r="H4" s="69" t="inlineStr">
        <is>
          <t>ANC VISIT</t>
        </is>
      </c>
      <c r="I4" s="61" t="inlineStr">
        <is>
          <t>COUNT DISTINCT person_id
WHERE Program='ANC PROGRAM'
  AND (
    (concept_name='Syphilis Test Result'
     AND obs_value_coded&lt;&gt;'Not Done')
    OR
    (concept_name='Hepatitis B'
     AND obs_value_coded&lt;&gt;'Not Done')
  )</t>
        </is>
      </c>
      <c r="J4" s="58" t="inlineStr">
        <is>
          <t>Syphilis Test Result OR Hepatitis B</t>
        </is>
      </c>
      <c r="K4" s="59" t="inlineStr">
        <is>
          <t>(any value)</t>
        </is>
      </c>
      <c r="L4" s="69" t="inlineStr">
        <is>
          <t>ANC VISIT</t>
        </is>
      </c>
      <c r="M4" s="61" t="inlineStr">
        <is>
          <t>COUNT DISTINCT person_id
WHERE Program='ANC PROGRAM'
  AND concept_name IN
    ('Syphilis Test Result','Hepatitis B')</t>
        </is>
      </c>
      <c r="N4" s="62" t="inlineStr">
        <is>
          <t>(N ÷ D) × 100</t>
        </is>
      </c>
      <c r="O4" s="66" t="inlineStr">
        <is>
          <t>Infection screening</t>
        </is>
      </c>
      <c r="P4" s="63" t="inlineStr">
        <is>
          <t>'Infection screening' absent; MAHIS has separate Syphilis + Hep B tests</t>
        </is>
      </c>
      <c r="Q4" s="64" t="inlineStr">
        <is>
          <t>OR composite across Syphilis Test Result + Hepatitis B != 'Not Done'</t>
        </is>
      </c>
    </row>
    <row r="5" ht="90" customHeight="1">
      <c r="A5" s="53" t="inlineStr">
        <is>
          <t>mnid_anc_003</t>
        </is>
      </c>
      <c r="B5" s="54" t="inlineStr">
        <is>
          <t>ANC</t>
        </is>
      </c>
      <c r="C5" s="55" t="inlineStr">
        <is>
          <t>ANC screened for high blood pressure</t>
        </is>
      </c>
      <c r="D5" s="56" t="inlineStr">
        <is>
          <t>80%</t>
        </is>
      </c>
      <c r="E5" s="57" t="inlineStr">
        <is>
          <t>Fixable</t>
        </is>
      </c>
      <c r="F5" s="58" t="inlineStr">
        <is>
          <t>Systolic Pressure*</t>
        </is>
      </c>
      <c r="G5" s="59" t="inlineStr">
        <is>
          <t>IS NOT NULL (any numeric)</t>
        </is>
      </c>
      <c r="H5" s="60" t="inlineStr">
        <is>
          <t>VITALS</t>
        </is>
      </c>
      <c r="I5" s="61" t="inlineStr">
        <is>
          <t>COUNT DISTINCT person_id
WHERE Program='ANC PROGRAM'
  AND concept_name='Systolic Pressure*'
  AND ValueN IS NOT NULL</t>
        </is>
      </c>
      <c r="J5" s="58" t="inlineStr">
        <is>
          <t>(all ANC-enrolled)</t>
        </is>
      </c>
      <c r="K5" s="59" t="inlineStr">
        <is>
          <t>(denominator = all ANC visits)</t>
        </is>
      </c>
      <c r="L5" s="60" t="inlineStr">
        <is>
          <t>ANC VISIT</t>
        </is>
      </c>
      <c r="M5" s="61" t="inlineStr">
        <is>
          <t>COUNT DISTINCT person_id
WHERE Program='ANC PROGRAM'
  AND Encounter='ANC VISIT'</t>
        </is>
      </c>
      <c r="N5" s="62" t="inlineStr">
        <is>
          <t>(N ÷ D) × 100</t>
        </is>
      </c>
      <c r="O5" s="55" t="inlineStr">
        <is>
          <t>High blood pressure screening</t>
        </is>
      </c>
      <c r="P5" s="63" t="inlineStr">
        <is>
          <t>BP saved as numeric in VITALS encounter, not as 'BP screening' concept</t>
        </is>
      </c>
      <c r="Q5" s="64" t="inlineStr">
        <is>
          <t>Systolic Pressure* numeric present = screened; denominator = all ANC visits</t>
        </is>
      </c>
    </row>
    <row r="6" ht="90" customHeight="1">
      <c r="A6" s="65" t="inlineStr">
        <is>
          <t>mnid_anc_004</t>
        </is>
      </c>
      <c r="B6" s="54" t="inlineStr">
        <is>
          <t>ANC</t>
        </is>
      </c>
      <c r="C6" s="66" t="inlineStr">
        <is>
          <t>HIV-tested + anaemia + BP screened (composite)</t>
        </is>
      </c>
      <c r="D6" s="67" t="inlineStr">
        <is>
          <t>80%</t>
        </is>
      </c>
      <c r="E6" s="68" t="inlineStr">
        <is>
          <t>Complex — composite logic</t>
        </is>
      </c>
      <c r="F6" s="58" t="inlineStr">
        <is>
          <t>HIV Test AND Hb(g/dL) AND Systolic Pressure*</t>
        </is>
      </c>
      <c r="G6" s="59" t="inlineStr">
        <is>
          <t>all != 'Not Done' / all present, same visit date</t>
        </is>
      </c>
      <c r="H6" s="69" t="inlineStr">
        <is>
          <t>ANC VISIT + VITALS (JOIN)</t>
        </is>
      </c>
      <c r="I6" s="61" t="inlineStr">
        <is>
          <t>COUNT DISTINCT person_id
WHERE Program='ANC PROGRAM'
  AND DATE IN (
    SELECT DATE FROM obs WHERE concept_name='HIV Test'
      AND obs_value_coded&lt;&gt;'Not Done'
    INTERSECT
    SELECT DATE FROM obs WHERE concept_name='Hb(g/dL)'
      AND obs_value_coded&lt;&gt;'Not Done'
    INTERSECT
    SELECT DATE FROM vitals WHERE concept_name='Systolic Pressure*'
      AND ValueN IS NOT NULL
  )</t>
        </is>
      </c>
      <c r="J6" s="58" t="inlineStr">
        <is>
          <t>ANC VISIT</t>
        </is>
      </c>
      <c r="K6" s="59" t="inlineStr">
        <is>
          <t>all ANC visits</t>
        </is>
      </c>
      <c r="L6" s="69" t="inlineStr">
        <is>
          <t>ANC VISIT</t>
        </is>
      </c>
      <c r="M6" s="61" t="inlineStr">
        <is>
          <t>COUNT DISTINCT person_id
WHERE Program='ANC PROGRAM'
  AND Encounter='ANC VISIT'</t>
        </is>
      </c>
      <c r="N6" s="62" t="inlineStr">
        <is>
          <t>(N ÷ D) × 100</t>
        </is>
      </c>
      <c r="O6" s="66" t="inlineStr">
        <is>
          <t>Composite (multi-concept)</t>
        </is>
      </c>
      <c r="P6" s="63" t="inlineStr">
        <is>
          <t>Cross-encounter JOIN required (ANC VISIT + VITALS) on same date</t>
        </is>
      </c>
      <c r="Q6" s="64" t="inlineStr">
        <is>
          <t>Custom SQL: DATE-matched intersection of HIV, Hb, BP per person</t>
        </is>
      </c>
    </row>
    <row r="7" ht="90" customHeight="1">
      <c r="A7" s="53" t="inlineStr">
        <is>
          <t>mnid_anc_005</t>
        </is>
      </c>
      <c r="B7" s="54" t="inlineStr">
        <is>
          <t>ANC</t>
        </is>
      </c>
      <c r="C7" s="55" t="inlineStr">
        <is>
          <t>Ultrasound / POCUS with gestational age recorded</t>
        </is>
      </c>
      <c r="D7" s="56" t="inlineStr">
        <is>
          <t>50%</t>
        </is>
      </c>
      <c r="E7" s="57" t="inlineStr">
        <is>
          <t>Fixable</t>
        </is>
      </c>
      <c r="F7" s="58" t="inlineStr">
        <is>
          <t>Ultrasound scan status</t>
        </is>
      </c>
      <c r="G7" s="59">
        <f> 'Ultrasound scan conducted'</f>
        <v/>
      </c>
      <c r="H7" s="60" t="inlineStr">
        <is>
          <t>ANC VISIT</t>
        </is>
      </c>
      <c r="I7" s="61" t="inlineStr">
        <is>
          <t>COUNT DISTINCT person_id
WHERE Program='ANC PROGRAM'
  AND concept_name='Ultrasound scan status'
  AND obs_value_coded='Ultrasound scan conducted'</t>
        </is>
      </c>
      <c r="J7" s="58" t="inlineStr">
        <is>
          <t>Ultrasound scan status</t>
        </is>
      </c>
      <c r="K7" s="59" t="inlineStr">
        <is>
          <t>(any value)</t>
        </is>
      </c>
      <c r="L7" s="60" t="inlineStr">
        <is>
          <t>ANC VISIT</t>
        </is>
      </c>
      <c r="M7" s="61" t="inlineStr">
        <is>
          <t>COUNT DISTINCT person_id
WHERE Program='ANC PROGRAM'
  AND concept_name='Ultrasound scan status'</t>
        </is>
      </c>
      <c r="N7" s="62" t="inlineStr">
        <is>
          <t>(N ÷ D) × 100</t>
        </is>
      </c>
      <c r="O7" s="55" t="inlineStr">
        <is>
          <t>POCUS completed</t>
        </is>
      </c>
      <c r="P7" s="63" t="inlineStr">
        <is>
          <t>Reports uses 'POCUS completed'='Yes'; MAHIS saves 'Ultrasound scan status'='Ultrasound scan conducted'</t>
        </is>
      </c>
      <c r="Q7" s="64" t="inlineStr">
        <is>
          <t>concept_name='Ultrasound scan status', value='Ultrasound scan conducted'</t>
        </is>
      </c>
    </row>
    <row r="8" ht="90" customHeight="1">
      <c r="A8" s="65" t="inlineStr">
        <is>
          <t>mnid_anc_006</t>
        </is>
      </c>
      <c r="B8" s="54" t="inlineStr">
        <is>
          <t>ANC</t>
        </is>
      </c>
      <c r="C8" s="66" t="inlineStr">
        <is>
          <t>ANC received 2+ tetanus doses (TDV)</t>
        </is>
      </c>
      <c r="D8" s="67" t="inlineStr">
        <is>
          <t>80%</t>
        </is>
      </c>
      <c r="E8" s="68" t="inlineStr">
        <is>
          <t>Complex — composite logic</t>
        </is>
      </c>
      <c r="F8" s="58" t="inlineStr">
        <is>
          <t>TDV (cumulative count across visits)</t>
        </is>
      </c>
      <c r="G8" s="59" t="inlineStr">
        <is>
          <t>&gt;= 2 visits where TDV='Yes'</t>
        </is>
      </c>
      <c r="H8" s="69" t="inlineStr">
        <is>
          <t>Treatment (count TDV=Yes visits)</t>
        </is>
      </c>
      <c r="I8" s="61" t="inlineStr">
        <is>
          <t>COUNT DISTINCT person_id
WHERE Program='ANC PROGRAM'
  AND (
    SELECT COUNT(*) FROM obs o2
    WHERE o2.person_id = o.person_id
      AND o2.concept_name = 'TDV'
      AND o2.obs_value_coded = 'Yes'
  ) &gt;= 2</t>
        </is>
      </c>
      <c r="J8" s="58" t="inlineStr">
        <is>
          <t>ANC VISIT</t>
        </is>
      </c>
      <c r="K8" s="59" t="inlineStr">
        <is>
          <t>all ANC visits</t>
        </is>
      </c>
      <c r="L8" s="69" t="inlineStr">
        <is>
          <t>ANC VISIT</t>
        </is>
      </c>
      <c r="M8" s="61" t="inlineStr">
        <is>
          <t>COUNT DISTINCT person_id
WHERE Program='ANC PROGRAM'
  AND Encounter='ANC VISIT'</t>
        </is>
      </c>
      <c r="N8" s="62" t="inlineStr">
        <is>
          <t>(N ÷ D) × 100</t>
        </is>
      </c>
      <c r="O8" s="66" t="inlineStr">
        <is>
          <t>Number of tetanus doses</t>
        </is>
      </c>
      <c r="P8" s="63" t="inlineStr">
        <is>
          <t>'Number of tetanus doses' absent; MAHIS records TDV=Yes/No per visit — need cross-visit COUNT</t>
        </is>
      </c>
      <c r="Q8" s="64" t="inlineStr">
        <is>
          <t>Aggregate: COUNT(visits WHERE TDV='Yes') per person &gt;= 2</t>
        </is>
      </c>
    </row>
    <row r="9" ht="90" customHeight="1">
      <c r="A9" s="70" t="inlineStr">
        <is>
          <t>mnid_anc_101</t>
        </is>
      </c>
      <c r="B9" s="71" t="inlineStr">
        <is>
          <t>ANC-Medicines</t>
        </is>
      </c>
      <c r="C9" s="72" t="inlineStr">
        <is>
          <t>Iron + Folic Acid (FeFo) dispensed</t>
        </is>
      </c>
      <c r="D9" s="73" t="inlineStr">
        <is>
          <t>90%</t>
        </is>
      </c>
      <c r="E9" s="74" t="inlineStr">
        <is>
          <t>Works as-is</t>
        </is>
      </c>
      <c r="F9" s="58" t="inlineStr">
        <is>
          <t>Iron prescription</t>
        </is>
      </c>
      <c r="G9" s="59">
        <f> 'Yes' / any type recorded</f>
        <v/>
      </c>
      <c r="H9" s="75" t="inlineStr">
        <is>
          <t>ANC VISIT</t>
        </is>
      </c>
      <c r="I9" s="61" t="inlineStr">
        <is>
          <t>COUNT DISTINCT person_id
WHERE Program='ANC PROGRAM'
  AND concept_name='Iron prescription'
  AND obs_value_coded IS NOT NULL
  AND obs_value_coded &lt;&gt; 'Not prescribed'</t>
        </is>
      </c>
      <c r="J9" s="58" t="inlineStr">
        <is>
          <t>ANC VISIT</t>
        </is>
      </c>
      <c r="K9" s="59" t="inlineStr">
        <is>
          <t>all ANC visits</t>
        </is>
      </c>
      <c r="L9" s="75" t="inlineStr">
        <is>
          <t>ANC VISIT</t>
        </is>
      </c>
      <c r="M9" s="61" t="inlineStr">
        <is>
          <t>COUNT DISTINCT person_id
WHERE Program='ANC PROGRAM'
  AND Encounter='ANC VISIT'</t>
        </is>
      </c>
      <c r="N9" s="62" t="inlineStr">
        <is>
          <t>(N ÷ D) × 100</t>
        </is>
      </c>
      <c r="O9" s="72" t="inlineStr">
        <is>
          <t>Iron prescription</t>
        </is>
      </c>
      <c r="P9" s="63" t="inlineStr">
        <is>
          <t>Concept exists in MAHIS; check 'Iron and folic acid not prescribed' for exclusions</t>
        </is>
      </c>
      <c r="Q9" s="64" t="inlineStr">
        <is>
          <t>numerator = Iron prescription recorded, denominator = all ANC visits</t>
        </is>
      </c>
    </row>
    <row r="10" ht="90" customHeight="1">
      <c r="A10" s="76" t="inlineStr">
        <is>
          <t>mnid_anc_102</t>
        </is>
      </c>
      <c r="B10" s="71" t="inlineStr">
        <is>
          <t>ANC-Medicines</t>
        </is>
      </c>
      <c r="C10" s="77" t="inlineStr">
        <is>
          <t>SP (Sulphadoxine-Pyrimethamine) dispensed for malaria prophylaxis</t>
        </is>
      </c>
      <c r="D10" s="78" t="inlineStr">
        <is>
          <t>80%</t>
        </is>
      </c>
      <c r="E10" s="74" t="inlineStr">
        <is>
          <t>Works as-is</t>
        </is>
      </c>
      <c r="F10" s="58" t="inlineStr">
        <is>
          <t>SP</t>
        </is>
      </c>
      <c r="G10" s="59" t="inlineStr">
        <is>
          <t>IS NOT NULL (any quantity given)</t>
        </is>
      </c>
      <c r="H10" s="79" t="inlineStr">
        <is>
          <t>ANC VISIT</t>
        </is>
      </c>
      <c r="I10" s="61" t="inlineStr">
        <is>
          <t>COUNT DISTINCT person_id
WHERE Program='ANC PROGRAM'
  AND concept_name='SP'
  AND obs_value_coded IS NOT NULL</t>
        </is>
      </c>
      <c r="J10" s="58" t="inlineStr">
        <is>
          <t>ANC VISIT</t>
        </is>
      </c>
      <c r="K10" s="59" t="inlineStr">
        <is>
          <t>all ANC visits</t>
        </is>
      </c>
      <c r="L10" s="79" t="inlineStr">
        <is>
          <t>ANC VISIT</t>
        </is>
      </c>
      <c r="M10" s="61" t="inlineStr">
        <is>
          <t>COUNT DISTINCT person_id
WHERE Program='ANC PROGRAM'
  AND Encounter='ANC VISIT'</t>
        </is>
      </c>
      <c r="N10" s="62" t="inlineStr">
        <is>
          <t>(N ÷ D) × 100</t>
        </is>
      </c>
      <c r="O10" s="77" t="inlineStr">
        <is>
          <t>SP</t>
        </is>
      </c>
      <c r="P10" s="63" t="inlineStr">
        <is>
          <t>'SP' concept exists in MAHIS with number of tablets given</t>
        </is>
      </c>
      <c r="Q10" s="64" t="inlineStr">
        <is>
          <t>Any SP recorded = dispensed; check 'number of SP tablets given' numeric &gt; 0</t>
        </is>
      </c>
    </row>
    <row r="11" ht="90" customHeight="1">
      <c r="A11" s="70" t="inlineStr">
        <is>
          <t>mnid_anc_103</t>
        </is>
      </c>
      <c r="B11" s="71" t="inlineStr">
        <is>
          <t>ANC-Medicines</t>
        </is>
      </c>
      <c r="C11" s="72" t="inlineStr">
        <is>
          <t>Aspirin dispensed (pre-eclampsia prevention)</t>
        </is>
      </c>
      <c r="D11" s="73" t="inlineStr">
        <is>
          <t>70%</t>
        </is>
      </c>
      <c r="E11" s="74" t="inlineStr">
        <is>
          <t>Works as-is</t>
        </is>
      </c>
      <c r="F11" s="58" t="inlineStr">
        <is>
          <t>Aspirin provided</t>
        </is>
      </c>
      <c r="G11" s="59">
        <f> 'Yes'</f>
        <v/>
      </c>
      <c r="H11" s="75" t="inlineStr">
        <is>
          <t>ANC VISIT</t>
        </is>
      </c>
      <c r="I11" s="61" t="inlineStr">
        <is>
          <t>COUNT DISTINCT person_id
WHERE Program='ANC PROGRAM'
  AND concept_name='Aspirin provided'
  AND obs_value_coded='Yes'</t>
        </is>
      </c>
      <c r="J11" s="58" t="inlineStr">
        <is>
          <t>ANC VISIT</t>
        </is>
      </c>
      <c r="K11" s="59" t="inlineStr">
        <is>
          <t>all ANC visits</t>
        </is>
      </c>
      <c r="L11" s="75" t="inlineStr">
        <is>
          <t>ANC VISIT</t>
        </is>
      </c>
      <c r="M11" s="61" t="inlineStr">
        <is>
          <t>COUNT DISTINCT person_id
WHERE Program='ANC PROGRAM'
  AND Encounter='ANC VISIT'</t>
        </is>
      </c>
      <c r="N11" s="62" t="inlineStr">
        <is>
          <t>(N ÷ D) × 100</t>
        </is>
      </c>
      <c r="O11" s="72" t="inlineStr">
        <is>
          <t>Aspirin provided</t>
        </is>
      </c>
      <c r="P11" s="63" t="inlineStr">
        <is>
          <t>Concept exists in MAHIS</t>
        </is>
      </c>
      <c r="Q11" s="64" t="inlineStr">
        <is>
          <t>Direct filter: Aspirin provided='Yes'</t>
        </is>
      </c>
    </row>
    <row r="12" ht="90" customHeight="1">
      <c r="A12" s="76" t="inlineStr">
        <is>
          <t>mnid_anc_104</t>
        </is>
      </c>
      <c r="B12" s="71" t="inlineStr">
        <is>
          <t>ANC-Medicines</t>
        </is>
      </c>
      <c r="C12" s="77" t="inlineStr">
        <is>
          <t>Insecticide-Treated Net (ITN) issued</t>
        </is>
      </c>
      <c r="D12" s="78" t="inlineStr">
        <is>
          <t>80%</t>
        </is>
      </c>
      <c r="E12" s="74" t="inlineStr">
        <is>
          <t>Works as-is</t>
        </is>
      </c>
      <c r="F12" s="58" t="inlineStr">
        <is>
          <t>Insecticide treated net given</t>
        </is>
      </c>
      <c r="G12" s="59">
        <f> 'Yes'</f>
        <v/>
      </c>
      <c r="H12" s="79" t="inlineStr">
        <is>
          <t>ANC VISIT</t>
        </is>
      </c>
      <c r="I12" s="61" t="inlineStr">
        <is>
          <t>COUNT DISTINCT person_id
WHERE Program='ANC PROGRAM'
  AND concept_name='Insecticide treated net given'
  AND obs_value_coded='Yes'</t>
        </is>
      </c>
      <c r="J12" s="58" t="inlineStr">
        <is>
          <t>ANC VISIT</t>
        </is>
      </c>
      <c r="K12" s="59" t="inlineStr">
        <is>
          <t>all ANC visits</t>
        </is>
      </c>
      <c r="L12" s="79" t="inlineStr">
        <is>
          <t>ANC VISIT</t>
        </is>
      </c>
      <c r="M12" s="61" t="inlineStr">
        <is>
          <t>COUNT DISTINCT person_id
WHERE Program='ANC PROGRAM'
  AND Encounter='ANC VISIT'</t>
        </is>
      </c>
      <c r="N12" s="62" t="inlineStr">
        <is>
          <t>(N ÷ D) × 100</t>
        </is>
      </c>
      <c r="O12" s="77" t="inlineStr">
        <is>
          <t>Insecticide treated net given</t>
        </is>
      </c>
      <c r="P12" s="63" t="inlineStr">
        <is>
          <t>Concept exists in MAHIS</t>
        </is>
      </c>
      <c r="Q12" s="64" t="inlineStr">
        <is>
          <t>Direct filter: Insecticide treated net given='Yes'</t>
        </is>
      </c>
    </row>
    <row r="13" ht="90" customHeight="1">
      <c r="A13" s="70" t="inlineStr">
        <is>
          <t>mnid_anc_105</t>
        </is>
      </c>
      <c r="B13" s="71" t="inlineStr">
        <is>
          <t>ANC-Medicines</t>
        </is>
      </c>
      <c r="C13" s="72" t="inlineStr">
        <is>
          <t>Vitamin A supplementation (ANC)</t>
        </is>
      </c>
      <c r="D13" s="73" t="inlineStr">
        <is>
          <t>80%</t>
        </is>
      </c>
      <c r="E13" s="74" t="inlineStr">
        <is>
          <t>Works as-is</t>
        </is>
      </c>
      <c r="F13" s="58" t="inlineStr">
        <is>
          <t>Vitamin A prescription</t>
        </is>
      </c>
      <c r="G13" s="59" t="inlineStr">
        <is>
          <t>IS NOT NULL</t>
        </is>
      </c>
      <c r="H13" s="75" t="inlineStr">
        <is>
          <t>ANC VISIT</t>
        </is>
      </c>
      <c r="I13" s="61" t="inlineStr">
        <is>
          <t>COUNT DISTINCT person_id
WHERE Program='ANC PROGRAM'
  AND concept_name='Vitamin A prescription'
  AND obs_value_coded IS NOT NULL
  AND obs_value_coded &lt;&gt; 'Not prescribed'</t>
        </is>
      </c>
      <c r="J13" s="58" t="inlineStr">
        <is>
          <t>ANC VISIT</t>
        </is>
      </c>
      <c r="K13" s="59" t="inlineStr">
        <is>
          <t>all ANC visits</t>
        </is>
      </c>
      <c r="L13" s="75" t="inlineStr">
        <is>
          <t>ANC VISIT</t>
        </is>
      </c>
      <c r="M13" s="61" t="inlineStr">
        <is>
          <t>COUNT DISTINCT person_id
WHERE Program='ANC PROGRAM'
  AND Encounter='ANC VISIT'</t>
        </is>
      </c>
      <c r="N13" s="62" t="inlineStr">
        <is>
          <t>(N ÷ D) × 100</t>
        </is>
      </c>
      <c r="O13" s="72" t="inlineStr">
        <is>
          <t>Vitamin A prescription</t>
        </is>
      </c>
      <c r="P13" s="63" t="inlineStr">
        <is>
          <t>Concept exists in MAHIS</t>
        </is>
      </c>
      <c r="Q13" s="64" t="inlineStr">
        <is>
          <t>Direct filter: Vitamin A prescription != 'Not prescribed'</t>
        </is>
      </c>
    </row>
    <row r="14" ht="90" customHeight="1">
      <c r="A14" s="80" t="inlineStr">
        <is>
          <t>mnid_lab_001</t>
        </is>
      </c>
      <c r="B14" s="81" t="inlineStr">
        <is>
          <t>Labour</t>
        </is>
      </c>
      <c r="C14" s="82" t="inlineStr">
        <is>
          <t>Quality intrapartum care per guidelines (composite)</t>
        </is>
      </c>
      <c r="D14" s="83" t="inlineStr">
        <is>
          <t>80%</t>
        </is>
      </c>
      <c r="E14" s="68" t="inlineStr">
        <is>
          <t>Complex — composite logic</t>
        </is>
      </c>
      <c r="F14" s="58" t="inlineStr">
        <is>
          <t>Obstetric complications + Obstetric care provided (matched)</t>
        </is>
      </c>
      <c r="G14" s="59" t="inlineStr">
        <is>
          <t>correct care for each complication</t>
        </is>
      </c>
      <c r="H14" s="84" t="inlineStr">
        <is>
          <t>LABOUR AND DELIVERY VISIT</t>
        </is>
      </c>
      <c r="I14" s="61" t="inlineStr">
        <is>
          <t>COUNT DISTINCT person_id
WHERE Program='LABOUR AND DELIVERY PROGRAM'
  AND (PPH→uterotonics) AND (sepsis→antibiotics)
  AND (eclampsia→anticonvulsants)
  AND (obstructed→appropriate intervention)
  — all matched per encounter</t>
        </is>
      </c>
      <c r="J14" s="58" t="inlineStr">
        <is>
          <t>Obstetric complications</t>
        </is>
      </c>
      <c r="K14" s="59" t="inlineStr">
        <is>
          <t>!= 'none'</t>
        </is>
      </c>
      <c r="L14" s="84" t="inlineStr">
        <is>
          <t>LABOUR AND DELIVERY VISIT</t>
        </is>
      </c>
      <c r="M14" s="61" t="inlineStr">
        <is>
          <t>COUNT DISTINCT person_id
WHERE Program='LABOUR AND DELIVERY PROGRAM'
  AND concept_name='Obstetric complications'
  AND obs_value_coded &lt;&gt; 'none'</t>
        </is>
      </c>
      <c r="N14" s="62" t="inlineStr">
        <is>
          <t>(N ÷ D) × 100</t>
        </is>
      </c>
      <c r="O14" s="82" t="inlineStr">
        <is>
          <t>Composite (PPH+Sepsis+Eclampsia)</t>
        </is>
      </c>
      <c r="P14" s="63" t="inlineStr">
        <is>
          <t>No single concept; requires JOIN of Obstetric complications + Obstetric care provided</t>
        </is>
      </c>
      <c r="Q14" s="64" t="inlineStr">
        <is>
          <t>Custom SQL: for each encounter link complication to its required care element</t>
        </is>
      </c>
    </row>
    <row r="15" ht="90" customHeight="1">
      <c r="A15" s="85" t="inlineStr">
        <is>
          <t>mnid_lab_002</t>
        </is>
      </c>
      <c r="B15" s="81" t="inlineStr">
        <is>
          <t>Labour</t>
        </is>
      </c>
      <c r="C15" s="86" t="inlineStr">
        <is>
          <t>Digital intrapartum monitoring (partograph use)</t>
        </is>
      </c>
      <c r="D15" s="87" t="inlineStr">
        <is>
          <t>70%</t>
        </is>
      </c>
      <c r="E15" s="57" t="inlineStr">
        <is>
          <t>Fixable</t>
        </is>
      </c>
      <c r="F15" s="58" t="inlineStr">
        <is>
          <t>Was a partograph used</t>
        </is>
      </c>
      <c r="G15" s="59">
        <f> 'Yes'</f>
        <v/>
      </c>
      <c r="H15" s="88" t="inlineStr">
        <is>
          <t>SUMMARY OF LABOUR</t>
        </is>
      </c>
      <c r="I15" s="61" t="inlineStr">
        <is>
          <t>COUNT DISTINCT person_id
WHERE Program='LABOUR AND DELIVERY PROGRAM'
  AND concept_name='Was a partograph used'
  AND obs_value_coded='Yes'</t>
        </is>
      </c>
      <c r="J15" s="58" t="inlineStr">
        <is>
          <t>Was a partograph used</t>
        </is>
      </c>
      <c r="K15" s="59" t="inlineStr">
        <is>
          <t>(any value — Yes or No)</t>
        </is>
      </c>
      <c r="L15" s="88" t="inlineStr">
        <is>
          <t>SUMMARY OF LABOUR</t>
        </is>
      </c>
      <c r="M15" s="61" t="inlineStr">
        <is>
          <t>COUNT DISTINCT person_id
WHERE Program='LABOUR AND DELIVERY PROGRAM'
  AND concept_name='Was a partograph used'</t>
        </is>
      </c>
      <c r="N15" s="62" t="inlineStr">
        <is>
          <t>(N ÷ D) × 100</t>
        </is>
      </c>
      <c r="O15" s="86" t="inlineStr">
        <is>
          <t>Digital intrapartum monitoring</t>
        </is>
      </c>
      <c r="P15" s="63" t="inlineStr">
        <is>
          <t>Reports uses 'Digital intrapartum monitoring'='Used'; MAHIS: 'Was a partograph used'='Yes'</t>
        </is>
      </c>
      <c r="Q15" s="64" t="inlineStr">
        <is>
          <t>concept_name='Was a partograph used', value='Yes'</t>
        </is>
      </c>
    </row>
    <row r="16" ht="90" customHeight="1">
      <c r="A16" s="80" t="inlineStr">
        <is>
          <t>mnid_lab_003</t>
        </is>
      </c>
      <c r="B16" s="81" t="inlineStr">
        <is>
          <t>Labour</t>
        </is>
      </c>
      <c r="C16" s="82" t="inlineStr">
        <is>
          <t>Antenatal corticosteroids given (pre-term labour)</t>
        </is>
      </c>
      <c r="D16" s="83" t="inlineStr">
        <is>
          <t>70%</t>
        </is>
      </c>
      <c r="E16" s="57" t="inlineStr">
        <is>
          <t>Fixable</t>
        </is>
      </c>
      <c r="F16" s="58" t="inlineStr">
        <is>
          <t>Corticosteroids given</t>
        </is>
      </c>
      <c r="G16" s="59">
        <f> 'yes' (case-insensitive)</f>
        <v/>
      </c>
      <c r="H16" s="84" t="inlineStr">
        <is>
          <t>LABOUR ASSESSMENT</t>
        </is>
      </c>
      <c r="I16" s="61" t="inlineStr">
        <is>
          <t>COUNT DISTINCT person_id
WHERE Program='LABOUR AND DELIVERY PROGRAM'
  AND concept_name='Corticosteroids given'
  AND LOWER(obs_value_coded)='yes'</t>
        </is>
      </c>
      <c r="J16" s="58" t="inlineStr">
        <is>
          <t>Corticosteroids given</t>
        </is>
      </c>
      <c r="K16" s="59" t="inlineStr">
        <is>
          <t>IN ('yes','no')</t>
        </is>
      </c>
      <c r="L16" s="84" t="inlineStr">
        <is>
          <t>LABOUR ASSESSMENT</t>
        </is>
      </c>
      <c r="M16" s="61" t="inlineStr">
        <is>
          <t>COUNT DISTINCT person_id
WHERE Program='LABOUR AND DELIVERY PROGRAM'
  AND concept_name='Corticosteroids given'
  AND LOWER(obs_value_coded) IN ('yes','no')</t>
        </is>
      </c>
      <c r="N16" s="62" t="inlineStr">
        <is>
          <t>(N ÷ D) × 100  [ideally filtered to Gestation weeks &lt; 37]</t>
        </is>
      </c>
      <c r="O16" s="82" t="inlineStr">
        <is>
          <t>Antenatal corticosteroids given</t>
        </is>
      </c>
      <c r="P16" s="63" t="inlineStr">
        <is>
          <t>Reports concept name differs; MAHIS has 'Corticosteroids given'='yes' (lowercase)</t>
        </is>
      </c>
      <c r="Q16" s="64" t="inlineStr">
        <is>
          <t>Use 'Corticosteroids given'; LOWER() match; add Gestation weeks &lt; 37 for refined denominator</t>
        </is>
      </c>
    </row>
    <row r="17" ht="90" customHeight="1">
      <c r="A17" s="85" t="inlineStr">
        <is>
          <t>mnid_lab_004</t>
        </is>
      </c>
      <c r="B17" s="81" t="inlineStr">
        <is>
          <t>Labour</t>
        </is>
      </c>
      <c r="C17" s="86" t="inlineStr">
        <is>
          <t>Prophylactic azithromycin in labour</t>
        </is>
      </c>
      <c r="D17" s="87" t="inlineStr">
        <is>
          <t>50%</t>
        </is>
      </c>
      <c r="E17" s="89" t="inlineStr">
        <is>
          <t>Missing — concept absent</t>
        </is>
      </c>
      <c r="F17" s="58" t="inlineStr">
        <is>
          <t>NOT FOUND IN MAHIS</t>
        </is>
      </c>
      <c r="G17" s="59" t="inlineStr">
        <is>
          <t>N/A</t>
        </is>
      </c>
      <c r="H17" s="88" t="inlineStr">
        <is>
          <t>N/A — MISSING</t>
        </is>
      </c>
      <c r="I17" s="61" t="inlineStr">
        <is>
          <t>CANNOT CALCULATE
— concept not in MAHIS
— indicator returns 0</t>
        </is>
      </c>
      <c r="J17" s="58" t="inlineStr">
        <is>
          <t>N/A</t>
        </is>
      </c>
      <c r="K17" s="59" t="inlineStr">
        <is>
          <t>N/A</t>
        </is>
      </c>
      <c r="L17" s="88" t="inlineStr">
        <is>
          <t>N/A</t>
        </is>
      </c>
      <c r="M17" s="61" t="inlineStr">
        <is>
          <t>CANNOT CALCULATE
— no denominator concept</t>
        </is>
      </c>
      <c r="N17" s="62" t="inlineStr">
        <is>
          <t>N/A — data source missing</t>
        </is>
      </c>
      <c r="O17" s="86" t="inlineStr">
        <is>
          <t>Prophylactic azithromycin given</t>
        </is>
      </c>
      <c r="P17" s="63" t="inlineStr">
        <is>
          <t>Concept absent from all MAHIS Labour forms. Also pending Malawi guideline adoption.</t>
        </is>
      </c>
      <c r="Q17" s="64" t="inlineStr">
        <is>
          <t>Add 'Prophylactic azithromycin given' (Yes/No) to Labour form after guideline confirmation</t>
        </is>
      </c>
    </row>
    <row r="18" ht="90" customHeight="1">
      <c r="A18" s="80" t="inlineStr">
        <is>
          <t>mnid_lab_005</t>
        </is>
      </c>
      <c r="B18" s="81" t="inlineStr">
        <is>
          <t>Labour</t>
        </is>
      </c>
      <c r="C18" s="82" t="inlineStr">
        <is>
          <t>PPH early detection + E-MOTIVE bundle used</t>
        </is>
      </c>
      <c r="D18" s="83" t="inlineStr">
        <is>
          <t>70%</t>
        </is>
      </c>
      <c r="E18" s="57" t="inlineStr">
        <is>
          <t>Fixable</t>
        </is>
      </c>
      <c r="F18" s="58" t="inlineStr">
        <is>
          <t>Was E-MOTIVE bundle used</t>
        </is>
      </c>
      <c r="G18" s="59">
        <f> 'Yes'</f>
        <v/>
      </c>
      <c r="H18" s="84" t="inlineStr">
        <is>
          <t>LABOUR AND DELIVERY VISIT</t>
        </is>
      </c>
      <c r="I18" s="61" t="inlineStr">
        <is>
          <t>COUNT DISTINCT person_id
WHERE Program='LABOUR AND DELIVERY PROGRAM'
  AND concept_name='Was E-MOTIVE bundle used'
  AND obs_value_coded='Yes'</t>
        </is>
      </c>
      <c r="J18" s="58" t="inlineStr">
        <is>
          <t>Was E-MOTIVE bundle used</t>
        </is>
      </c>
      <c r="K18" s="59" t="inlineStr">
        <is>
          <t>(any value — Yes or No)</t>
        </is>
      </c>
      <c r="L18" s="84" t="inlineStr">
        <is>
          <t>LABOUR AND DELIVERY VISIT</t>
        </is>
      </c>
      <c r="M18" s="61" t="inlineStr">
        <is>
          <t>COUNT DISTINCT person_id
WHERE Program='LABOUR AND DELIVERY PROGRAM'
  AND concept_name='Was E-MOTIVE bundle used'</t>
        </is>
      </c>
      <c r="N18" s="62" t="inlineStr">
        <is>
          <t>(N ÷ D) × 100</t>
        </is>
      </c>
      <c r="O18" s="82" t="inlineStr">
        <is>
          <t>PPH treatment bundle</t>
        </is>
      </c>
      <c r="P18" s="63" t="inlineStr">
        <is>
          <t>Reports: 'PPH treatment bundle'='Completed'; MAHIS: 'Was E-MOTIVE bundle used'='Yes'</t>
        </is>
      </c>
      <c r="Q18" s="64" t="inlineStr">
        <is>
          <t>Use 'Was E-MOTIVE bundle used'='Yes'</t>
        </is>
      </c>
    </row>
    <row r="19" ht="90" customHeight="1">
      <c r="A19" s="85" t="inlineStr">
        <is>
          <t>mnid_lab_006</t>
        </is>
      </c>
      <c r="B19" s="81" t="inlineStr">
        <is>
          <t>Labour</t>
        </is>
      </c>
      <c r="C19" s="86" t="inlineStr">
        <is>
          <t>Facility deliveries</t>
        </is>
      </c>
      <c r="D19" s="87" t="inlineStr">
        <is>
          <t>80%</t>
        </is>
      </c>
      <c r="E19" s="74" t="inlineStr">
        <is>
          <t>Works as-is</t>
        </is>
      </c>
      <c r="F19" s="58" t="inlineStr">
        <is>
          <t>Place of delivery</t>
        </is>
      </c>
      <c r="G19" s="59">
        <f> 'This facility'</f>
        <v/>
      </c>
      <c r="H19" s="88" t="inlineStr">
        <is>
          <t>LABOUR AND DELIVERY VISIT</t>
        </is>
      </c>
      <c r="I19" s="61" t="inlineStr">
        <is>
          <t>COUNT DISTINCT person_id
WHERE Program='LABOUR AND DELIVERY PROGRAM'
  AND concept_name='Place of delivery'
  AND LOWER(obs_value_coded)='this facility'</t>
        </is>
      </c>
      <c r="J19" s="58" t="inlineStr">
        <is>
          <t>Place of delivery</t>
        </is>
      </c>
      <c r="K19" s="59" t="inlineStr">
        <is>
          <t>(any value)</t>
        </is>
      </c>
      <c r="L19" s="88" t="inlineStr">
        <is>
          <t>LABOUR AND DELIVERY VISIT</t>
        </is>
      </c>
      <c r="M19" s="61" t="inlineStr">
        <is>
          <t>COUNT DISTINCT person_id
WHERE Program='LABOUR AND DELIVERY PROGRAM'
  AND concept_name='Place of delivery'</t>
        </is>
      </c>
      <c r="N19" s="62" t="inlineStr">
        <is>
          <t>(N ÷ D) × 100</t>
        </is>
      </c>
      <c r="O19" s="86" t="inlineStr">
        <is>
          <t>Place of delivery</t>
        </is>
      </c>
      <c r="P19" s="63" t="inlineStr">
        <is>
          <t>No gap — exact match</t>
        </is>
      </c>
      <c r="Q19" s="64" t="inlineStr">
        <is>
          <t>No changes needed</t>
        </is>
      </c>
    </row>
    <row r="20" ht="90" customHeight="1">
      <c r="A20" s="80" t="inlineStr">
        <is>
          <t>mnid_lab_007</t>
        </is>
      </c>
      <c r="B20" s="81" t="inlineStr">
        <is>
          <t>Labour</t>
        </is>
      </c>
      <c r="C20" s="82" t="inlineStr">
        <is>
          <t>Skilled delivery attendance</t>
        </is>
      </c>
      <c r="D20" s="83" t="inlineStr">
        <is>
          <t>80%</t>
        </is>
      </c>
      <c r="E20" s="74" t="inlineStr">
        <is>
          <t>Works as-is</t>
        </is>
      </c>
      <c r="F20" s="58" t="inlineStr">
        <is>
          <t>Staff conducting delivery</t>
        </is>
      </c>
      <c r="G20" s="59" t="inlineStr">
        <is>
          <t>IS NOT NULL (any value present)</t>
        </is>
      </c>
      <c r="H20" s="84" t="inlineStr">
        <is>
          <t>LABOUR AND DELIVERY VISIT</t>
        </is>
      </c>
      <c r="I20" s="61" t="inlineStr">
        <is>
          <t>COUNT DISTINCT person_id
WHERE Program='LABOUR AND DELIVERY PROGRAM'
  AND concept_name='Staff conducting delivery'
  AND obs_value_coded IS NOT NULL</t>
        </is>
      </c>
      <c r="J20" s="58" t="inlineStr">
        <is>
          <t>Mode of delivery</t>
        </is>
      </c>
      <c r="K20" s="59" t="inlineStr">
        <is>
          <t>(any value — all deliveries)</t>
        </is>
      </c>
      <c r="L20" s="84" t="inlineStr">
        <is>
          <t>LABOUR AND DELIVERY VISIT</t>
        </is>
      </c>
      <c r="M20" s="61" t="inlineStr">
        <is>
          <t>COUNT DISTINCT person_id
WHERE Program='LABOUR AND DELIVERY PROGRAM'
  AND concept_name='Mode of delivery'</t>
        </is>
      </c>
      <c r="N20" s="62" t="inlineStr">
        <is>
          <t>(N ÷ D) × 100</t>
        </is>
      </c>
      <c r="O20" s="82" t="inlineStr">
        <is>
          <t>Staff conducting delivery</t>
        </is>
      </c>
      <c r="P20" s="63" t="inlineStr">
        <is>
          <t>No gap — exact match</t>
        </is>
      </c>
      <c r="Q20" s="64" t="inlineStr">
        <is>
          <t>No changes needed</t>
        </is>
      </c>
    </row>
    <row r="21" ht="90" customHeight="1">
      <c r="A21" s="90" t="inlineStr">
        <is>
          <t>mnid_lab_101</t>
        </is>
      </c>
      <c r="B21" s="91" t="inlineStr">
        <is>
          <t>Labour-Delivery</t>
        </is>
      </c>
      <c r="C21" s="92" t="inlineStr">
        <is>
          <t>Vaginal deliveries</t>
        </is>
      </c>
      <c r="D21" s="93" t="inlineStr">
        <is>
          <t>—</t>
        </is>
      </c>
      <c r="E21" s="74" t="inlineStr">
        <is>
          <t>Works as-is</t>
        </is>
      </c>
      <c r="F21" s="58" t="inlineStr">
        <is>
          <t>Mode of delivery</t>
        </is>
      </c>
      <c r="G21" s="59">
        <f> 'Vaginal delivery'</f>
        <v/>
      </c>
      <c r="H21" s="94" t="inlineStr">
        <is>
          <t>LABOUR AND DELIVERY VISIT</t>
        </is>
      </c>
      <c r="I21" s="61" t="inlineStr">
        <is>
          <t>COUNT DISTINCT person_id
WHERE Program='LABOUR AND DELIVERY PROGRAM'
  AND concept_name='Mode of delivery'
  AND obs_value_coded='Vaginal delivery'</t>
        </is>
      </c>
      <c r="J21" s="58" t="inlineStr">
        <is>
          <t>Mode of delivery</t>
        </is>
      </c>
      <c r="K21" s="59" t="inlineStr">
        <is>
          <t>(any value)</t>
        </is>
      </c>
      <c r="L21" s="94" t="inlineStr">
        <is>
          <t>LABOUR AND DELIVERY VISIT</t>
        </is>
      </c>
      <c r="M21" s="61" t="inlineStr">
        <is>
          <t>COUNT DISTINCT person_id
WHERE Program='LABOUR AND DELIVERY PROGRAM'
  AND concept_name='Mode of delivery'</t>
        </is>
      </c>
      <c r="N21" s="62" t="inlineStr">
        <is>
          <t>(N ÷ D) × 100</t>
        </is>
      </c>
      <c r="O21" s="92" t="inlineStr">
        <is>
          <t>Mode of delivery</t>
        </is>
      </c>
      <c r="P21" s="63" t="inlineStr">
        <is>
          <t>None</t>
        </is>
      </c>
      <c r="Q21" s="64" t="inlineStr">
        <is>
          <t>Direct filter</t>
        </is>
      </c>
    </row>
    <row r="22" ht="90" customHeight="1">
      <c r="A22" s="95" t="inlineStr">
        <is>
          <t>mnid_lab_102</t>
        </is>
      </c>
      <c r="B22" s="91" t="inlineStr">
        <is>
          <t>Labour-Delivery</t>
        </is>
      </c>
      <c r="C22" s="96" t="inlineStr">
        <is>
          <t>Caesarean section rate</t>
        </is>
      </c>
      <c r="D22" s="97" t="inlineStr">
        <is>
          <t>15%</t>
        </is>
      </c>
      <c r="E22" s="74" t="inlineStr">
        <is>
          <t>Works as-is</t>
        </is>
      </c>
      <c r="F22" s="58" t="inlineStr">
        <is>
          <t>Mode of delivery</t>
        </is>
      </c>
      <c r="G22" s="59">
        <f> 'Caesarean section'</f>
        <v/>
      </c>
      <c r="H22" s="98" t="inlineStr">
        <is>
          <t>LABOUR AND DELIVERY VISIT</t>
        </is>
      </c>
      <c r="I22" s="61" t="inlineStr">
        <is>
          <t>COUNT DISTINCT person_id
WHERE Program='LABOUR AND DELIVERY PROGRAM'
  AND concept_name='Mode of delivery'
  AND obs_value_coded='Caesarean section'</t>
        </is>
      </c>
      <c r="J22" s="58" t="inlineStr">
        <is>
          <t>Mode of delivery</t>
        </is>
      </c>
      <c r="K22" s="59" t="inlineStr">
        <is>
          <t>(any value)</t>
        </is>
      </c>
      <c r="L22" s="98" t="inlineStr">
        <is>
          <t>LABOUR AND DELIVERY VISIT</t>
        </is>
      </c>
      <c r="M22" s="61" t="inlineStr">
        <is>
          <t>COUNT DISTINCT person_id
WHERE Program='LABOUR AND DELIVERY PROGRAM'
  AND concept_name='Mode of delivery'</t>
        </is>
      </c>
      <c r="N22" s="62" t="inlineStr">
        <is>
          <t>(N ÷ D) × 100  [WHO benchmark ≤15%]</t>
        </is>
      </c>
      <c r="O22" s="96" t="inlineStr">
        <is>
          <t>Mode of delivery</t>
        </is>
      </c>
      <c r="P22" s="63" t="inlineStr">
        <is>
          <t>None</t>
        </is>
      </c>
      <c r="Q22" s="64" t="inlineStr">
        <is>
          <t>Direct filter; note WHO target is 10-15%</t>
        </is>
      </c>
    </row>
    <row r="23" ht="90" customHeight="1">
      <c r="A23" s="99" t="inlineStr">
        <is>
          <t>mnid_lab_201</t>
        </is>
      </c>
      <c r="B23" s="100" t="inlineStr">
        <is>
          <t>Labour-Complications</t>
        </is>
      </c>
      <c r="C23" s="101" t="inlineStr">
        <is>
          <t>PPH (Post-Partum Haemorrhage)</t>
        </is>
      </c>
      <c r="D23" s="102" t="inlineStr">
        <is>
          <t>—</t>
        </is>
      </c>
      <c r="E23" s="74" t="inlineStr">
        <is>
          <t>Works as-is</t>
        </is>
      </c>
      <c r="F23" s="58" t="inlineStr">
        <is>
          <t>Obstetric complications</t>
        </is>
      </c>
      <c r="G23" s="59">
        <f> 'post partum Haemorrhage'</f>
        <v/>
      </c>
      <c r="H23" s="103" t="inlineStr">
        <is>
          <t>LABOUR AND DELIVERY VISIT</t>
        </is>
      </c>
      <c r="I23" s="61" t="inlineStr">
        <is>
          <t>COUNT DISTINCT person_id
WHERE Program='LABOUR AND DELIVERY PROGRAM'
  AND concept_name='Obstetric complications'
  AND obs_value_coded='post partum Haemorrhage'</t>
        </is>
      </c>
      <c r="J23" s="58" t="inlineStr">
        <is>
          <t>Obstetric complications</t>
        </is>
      </c>
      <c r="K23" s="59" t="inlineStr">
        <is>
          <t>(any value)</t>
        </is>
      </c>
      <c r="L23" s="103" t="inlineStr">
        <is>
          <t>LABOUR AND DELIVERY VISIT</t>
        </is>
      </c>
      <c r="M23" s="61" t="inlineStr">
        <is>
          <t>COUNT DISTINCT person_id
WHERE Program='LABOUR AND DELIVERY PROGRAM'
  AND concept_name='Obstetric complications'</t>
        </is>
      </c>
      <c r="N23" s="62" t="inlineStr">
        <is>
          <t>(N ÷ D) × 100  [prevalence among all deliveries]</t>
        </is>
      </c>
      <c r="O23" s="101" t="inlineStr">
        <is>
          <t>Obstetric complications</t>
        </is>
      </c>
      <c r="P23" s="63" t="inlineStr">
        <is>
          <t>None</t>
        </is>
      </c>
      <c r="Q23" s="64" t="inlineStr">
        <is>
          <t>Direct filter</t>
        </is>
      </c>
    </row>
    <row r="24" ht="90" customHeight="1">
      <c r="A24" s="104" t="inlineStr">
        <is>
          <t>mnid_lab_202</t>
        </is>
      </c>
      <c r="B24" s="100" t="inlineStr">
        <is>
          <t>Labour-Complications</t>
        </is>
      </c>
      <c r="C24" s="105" t="inlineStr">
        <is>
          <t>Pre-eclampsia / Eclampsia</t>
        </is>
      </c>
      <c r="D24" s="106" t="inlineStr">
        <is>
          <t>—</t>
        </is>
      </c>
      <c r="E24" s="74" t="inlineStr">
        <is>
          <t>Works as-is</t>
        </is>
      </c>
      <c r="F24" s="58" t="inlineStr">
        <is>
          <t>Obstetric complications</t>
        </is>
      </c>
      <c r="G24" s="59">
        <f> '(pre-) eclampsia'</f>
        <v/>
      </c>
      <c r="H24" s="107" t="inlineStr">
        <is>
          <t>LABOUR AND DELIVERY VISIT</t>
        </is>
      </c>
      <c r="I24" s="61" t="inlineStr">
        <is>
          <t>COUNT DISTINCT person_id
WHERE Program='LABOUR AND DELIVERY PROGRAM'
  AND concept_name='Obstetric complications'
  AND obs_value_coded='(pre-) eclampsia'</t>
        </is>
      </c>
      <c r="J24" s="58" t="inlineStr">
        <is>
          <t>Obstetric complications</t>
        </is>
      </c>
      <c r="K24" s="59" t="inlineStr">
        <is>
          <t>(any value)</t>
        </is>
      </c>
      <c r="L24" s="107" t="inlineStr">
        <is>
          <t>LABOUR AND DELIVERY VISIT</t>
        </is>
      </c>
      <c r="M24" s="61" t="inlineStr">
        <is>
          <t>COUNT DISTINCT person_id
WHERE Program='LABOUR AND DELIVERY PROGRAM'
  AND concept_name='Obstetric complications'</t>
        </is>
      </c>
      <c r="N24" s="62" t="inlineStr">
        <is>
          <t>(N ÷ D) × 100</t>
        </is>
      </c>
      <c r="O24" s="105" t="inlineStr">
        <is>
          <t>Obstetric complications</t>
        </is>
      </c>
      <c r="P24" s="63" t="inlineStr">
        <is>
          <t>None</t>
        </is>
      </c>
      <c r="Q24" s="64" t="inlineStr">
        <is>
          <t>Direct filter</t>
        </is>
      </c>
    </row>
    <row r="25" ht="90" customHeight="1">
      <c r="A25" s="99" t="inlineStr">
        <is>
          <t>mnid_lab_203</t>
        </is>
      </c>
      <c r="B25" s="100" t="inlineStr">
        <is>
          <t>Labour-Complications</t>
        </is>
      </c>
      <c r="C25" s="101" t="inlineStr">
        <is>
          <t>Sepsis / Serious infection</t>
        </is>
      </c>
      <c r="D25" s="102" t="inlineStr">
        <is>
          <t>—</t>
        </is>
      </c>
      <c r="E25" s="74" t="inlineStr">
        <is>
          <t>Works as-is</t>
        </is>
      </c>
      <c r="F25" s="58" t="inlineStr">
        <is>
          <t>Obstetric complications</t>
        </is>
      </c>
      <c r="G25" s="59">
        <f> 'sepsis'</f>
        <v/>
      </c>
      <c r="H25" s="103" t="inlineStr">
        <is>
          <t>LABOUR AND DELIVERY VISIT</t>
        </is>
      </c>
      <c r="I25" s="61" t="inlineStr">
        <is>
          <t>COUNT DISTINCT person_id
WHERE Program='LABOUR AND DELIVERY PROGRAM'
  AND concept_name='Obstetric complications'
  AND obs_value_coded='sepsis'</t>
        </is>
      </c>
      <c r="J25" s="58" t="inlineStr">
        <is>
          <t>Obstetric complications</t>
        </is>
      </c>
      <c r="K25" s="59" t="inlineStr">
        <is>
          <t>(any value)</t>
        </is>
      </c>
      <c r="L25" s="103" t="inlineStr">
        <is>
          <t>LABOUR AND DELIVERY VISIT</t>
        </is>
      </c>
      <c r="M25" s="61" t="inlineStr">
        <is>
          <t>COUNT DISTINCT person_id
WHERE Program='LABOUR AND DELIVERY PROGRAM'
  AND concept_name='Obstetric complications'</t>
        </is>
      </c>
      <c r="N25" s="62" t="inlineStr">
        <is>
          <t>(N ÷ D) × 100</t>
        </is>
      </c>
      <c r="O25" s="101" t="inlineStr">
        <is>
          <t>Obstetric complications</t>
        </is>
      </c>
      <c r="P25" s="63" t="inlineStr">
        <is>
          <t>None</t>
        </is>
      </c>
      <c r="Q25" s="64" t="inlineStr">
        <is>
          <t>Direct filter</t>
        </is>
      </c>
    </row>
    <row r="26" ht="90" customHeight="1">
      <c r="A26" s="104" t="inlineStr">
        <is>
          <t>mnid_lab_204</t>
        </is>
      </c>
      <c r="B26" s="100" t="inlineStr">
        <is>
          <t>Labour-Complications</t>
        </is>
      </c>
      <c r="C26" s="105" t="inlineStr">
        <is>
          <t>Obstructed / Prolonged labour</t>
        </is>
      </c>
      <c r="D26" s="106" t="inlineStr">
        <is>
          <t>—</t>
        </is>
      </c>
      <c r="E26" s="74" t="inlineStr">
        <is>
          <t>Works as-is</t>
        </is>
      </c>
      <c r="F26" s="58" t="inlineStr">
        <is>
          <t>Obstetric complications</t>
        </is>
      </c>
      <c r="G26" s="59">
        <f> 'obstructed/Prolonged labour'</f>
        <v/>
      </c>
      <c r="H26" s="107" t="inlineStr">
        <is>
          <t>LABOUR AND DELIVERY VISIT</t>
        </is>
      </c>
      <c r="I26" s="61" t="inlineStr">
        <is>
          <t>COUNT DISTINCT person_id
WHERE Program='LABOUR AND DELIVERY PROGRAM'
  AND concept_name='Obstetric complications'
  AND obs_value_coded='obstructed/Prolonged labour'</t>
        </is>
      </c>
      <c r="J26" s="58" t="inlineStr">
        <is>
          <t>Obstetric complications</t>
        </is>
      </c>
      <c r="K26" s="59" t="inlineStr">
        <is>
          <t>(any value)</t>
        </is>
      </c>
      <c r="L26" s="107" t="inlineStr">
        <is>
          <t>LABOUR AND DELIVERY VISIT</t>
        </is>
      </c>
      <c r="M26" s="61" t="inlineStr">
        <is>
          <t>COUNT DISTINCT person_id
WHERE Program='LABOUR AND DELIVERY PROGRAM'
  AND concept_name='Obstetric complications'</t>
        </is>
      </c>
      <c r="N26" s="62" t="inlineStr">
        <is>
          <t>(N ÷ D) × 100</t>
        </is>
      </c>
      <c r="O26" s="105" t="inlineStr">
        <is>
          <t>Obstetric complications</t>
        </is>
      </c>
      <c r="P26" s="63" t="inlineStr">
        <is>
          <t>None</t>
        </is>
      </c>
      <c r="Q26" s="64" t="inlineStr">
        <is>
          <t>Direct filter</t>
        </is>
      </c>
    </row>
    <row r="27" ht="90" customHeight="1">
      <c r="A27" s="53" t="inlineStr">
        <is>
          <t>mnid_lab_301</t>
        </is>
      </c>
      <c r="B27" s="108" t="inlineStr">
        <is>
          <t>Labour-Medicines</t>
        </is>
      </c>
      <c r="C27" s="55" t="inlineStr">
        <is>
          <t>Oxytocin 10 IU given (active management 3rd stage)</t>
        </is>
      </c>
      <c r="D27" s="56" t="inlineStr">
        <is>
          <t>90%</t>
        </is>
      </c>
      <c r="E27" s="74" t="inlineStr">
        <is>
          <t>Works as-is</t>
        </is>
      </c>
      <c r="F27" s="58" t="inlineStr">
        <is>
          <t>Oxytocin 10 IU given</t>
        </is>
      </c>
      <c r="G27" s="59">
        <f> 'Yes'</f>
        <v/>
      </c>
      <c r="H27" s="60" t="inlineStr">
        <is>
          <t>LABOUR AND DELIVERY VISIT</t>
        </is>
      </c>
      <c r="I27" s="61" t="inlineStr">
        <is>
          <t>COUNT DISTINCT person_id
WHERE Program='LABOUR AND DELIVERY PROGRAM'
  AND concept_name='Oxytocin 10 IU given'
  AND obs_value_coded='Yes'</t>
        </is>
      </c>
      <c r="J27" s="58" t="inlineStr">
        <is>
          <t>Mode of delivery</t>
        </is>
      </c>
      <c r="K27" s="59" t="inlineStr">
        <is>
          <t>(all deliveries)</t>
        </is>
      </c>
      <c r="L27" s="60" t="inlineStr">
        <is>
          <t>LABOUR AND DELIVERY VISIT</t>
        </is>
      </c>
      <c r="M27" s="61" t="inlineStr">
        <is>
          <t>COUNT DISTINCT person_id
WHERE Program='LABOUR AND DELIVERY PROGRAM'
  AND concept_name='Mode of delivery'</t>
        </is>
      </c>
      <c r="N27" s="62" t="inlineStr">
        <is>
          <t>(N ÷ D) × 100</t>
        </is>
      </c>
      <c r="O27" s="55" t="inlineStr">
        <is>
          <t>Oxytocin 10 IU given</t>
        </is>
      </c>
      <c r="P27" s="63" t="inlineStr">
        <is>
          <t>None — concept exists</t>
        </is>
      </c>
      <c r="Q27" s="64" t="inlineStr">
        <is>
          <t>Direct filter</t>
        </is>
      </c>
    </row>
    <row r="28" ht="90" customHeight="1">
      <c r="A28" s="65" t="inlineStr">
        <is>
          <t>mnid_lab_302</t>
        </is>
      </c>
      <c r="B28" s="108" t="inlineStr">
        <is>
          <t>Labour-Medicines</t>
        </is>
      </c>
      <c r="C28" s="66" t="inlineStr">
        <is>
          <t>Magnesium Sulphate given (eclampsia)</t>
        </is>
      </c>
      <c r="D28" s="67" t="inlineStr">
        <is>
          <t>90%</t>
        </is>
      </c>
      <c r="E28" s="68" t="inlineStr">
        <is>
          <t>Complex — composite logic</t>
        </is>
      </c>
      <c r="F28" s="58" t="inlineStr">
        <is>
          <t>Anticonvulsant administered</t>
        </is>
      </c>
      <c r="G28" s="59">
        <f> 'Yes'</f>
        <v/>
      </c>
      <c r="H28" s="69" t="inlineStr">
        <is>
          <t>LABOUR AND DELIVERY VISIT</t>
        </is>
      </c>
      <c r="I28" s="61" t="inlineStr">
        <is>
          <t>COUNT DISTINCT person_id
WHERE Program='LABOUR AND DELIVERY PROGRAM'
  AND concept_name='Anticonvulsant administered'
  AND obs_value_coded='Yes'
  [restricted to eclampsia cases]</t>
        </is>
      </c>
      <c r="J28" s="58" t="inlineStr">
        <is>
          <t>Obstetric complications</t>
        </is>
      </c>
      <c r="K28" s="59">
        <f> '(pre-) eclampsia'</f>
        <v/>
      </c>
      <c r="L28" s="69" t="inlineStr">
        <is>
          <t>LABOUR AND DELIVERY VISIT</t>
        </is>
      </c>
      <c r="M28" s="61" t="inlineStr">
        <is>
          <t>COUNT DISTINCT person_id
WHERE Program='LABOUR AND DELIVERY PROGRAM'
  AND concept_name='Obstetric complications'
  AND obs_value_coded='(pre-) eclampsia'</t>
        </is>
      </c>
      <c r="N28" s="62" t="inlineStr">
        <is>
          <t>(N ÷ D) × 100  [eclampsia cases receiving anticonvulsants]</t>
        </is>
      </c>
      <c r="O28" s="66" t="inlineStr">
        <is>
          <t>Anticonvulsant administered</t>
        </is>
      </c>
      <c r="P28" s="63" t="inlineStr">
        <is>
          <t>Need to restrict to eclampsia cases — requires JOIN of complications + treatment</t>
        </is>
      </c>
      <c r="Q28" s="64" t="inlineStr">
        <is>
          <t>JOIN: Anticonvulsant given = Yes WHERE eclampsia in same encounter</t>
        </is>
      </c>
    </row>
    <row r="29" ht="90" customHeight="1">
      <c r="A29" s="109" t="inlineStr">
        <is>
          <t>mnid_nb_001</t>
        </is>
      </c>
      <c r="B29" s="110" t="inlineStr">
        <is>
          <t>Newborn</t>
        </is>
      </c>
      <c r="C29" s="111" t="inlineStr">
        <is>
          <t>Neonatal resuscitation (eligible babies)</t>
        </is>
      </c>
      <c r="D29" s="112" t="inlineStr">
        <is>
          <t>80%</t>
        </is>
      </c>
      <c r="E29" s="57" t="inlineStr">
        <is>
          <t>Fixable</t>
        </is>
      </c>
      <c r="F29" s="58" t="inlineStr">
        <is>
          <t>Management given to newborn</t>
        </is>
      </c>
      <c r="G29" s="59">
        <f> 'Resuscitation'</f>
        <v/>
      </c>
      <c r="H29" s="113" t="inlineStr">
        <is>
          <t>LABOUR AND DELIVERY VISIT</t>
        </is>
      </c>
      <c r="I29" s="61" t="inlineStr">
        <is>
          <t>COUNT DISTINCT person_id
WHERE Program='LABOUR AND DELIVERY PROGRAM'
  AND concept_name='Management given to newborn'
  AND obs_value_coded='Resuscitation'</t>
        </is>
      </c>
      <c r="J29" s="58" t="inlineStr">
        <is>
          <t>Baby general condition at birth</t>
        </is>
      </c>
      <c r="K29" s="59" t="inlineStr">
        <is>
          <t>&lt;&gt; 'Good' [proxy: needed resuscitation]</t>
        </is>
      </c>
      <c r="L29" s="113" t="inlineStr">
        <is>
          <t>LABOUR AND DELIVERY VISIT</t>
        </is>
      </c>
      <c r="M29" s="61" t="inlineStr">
        <is>
          <t>COUNT DISTINCT person_id
WHERE Program='LABOUR AND DELIVERY PROGRAM'
  AND concept_name='Baby general condition at birth'
  AND obs_value_coded &lt;&gt; 'Good'</t>
        </is>
      </c>
      <c r="N29" s="62" t="inlineStr">
        <is>
          <t>(N ÷ D) × 100</t>
        </is>
      </c>
      <c r="O29" s="111" t="inlineStr">
        <is>
          <t>Neonatal resuscitation provided</t>
        </is>
      </c>
      <c r="P29" s="63" t="inlineStr">
        <is>
          <t>'Neonatal resuscitation provided' absent; MAHIS: 'Management given to newborn'='Resuscitation'</t>
        </is>
      </c>
      <c r="Q29" s="64" t="inlineStr">
        <is>
          <t>Use 'Management given to newborn'='Resuscitation'; denominator='Baby general condition at birth'&lt;&gt;'Good'</t>
        </is>
      </c>
    </row>
    <row r="30" ht="90" customHeight="1">
      <c r="A30" s="114" t="inlineStr">
        <is>
          <t>mnid_nb_002</t>
        </is>
      </c>
      <c r="B30" s="110" t="inlineStr">
        <is>
          <t>Newborn</t>
        </is>
      </c>
      <c r="C30" s="115" t="inlineStr">
        <is>
          <t>iKMC — Kangaroo Mother Care (preterm/LBW)</t>
        </is>
      </c>
      <c r="D30" s="116" t="inlineStr">
        <is>
          <t>80%</t>
        </is>
      </c>
      <c r="E30" s="57" t="inlineStr">
        <is>
          <t>Fixable</t>
        </is>
      </c>
      <c r="F30" s="58" t="inlineStr">
        <is>
          <t>Management given to newborn</t>
        </is>
      </c>
      <c r="G30" s="59">
        <f> 'Kangaroo mother care'</f>
        <v/>
      </c>
      <c r="H30" s="117" t="inlineStr">
        <is>
          <t>LABOUR AND DELIVERY VISIT</t>
        </is>
      </c>
      <c r="I30" s="61" t="inlineStr">
        <is>
          <t>COUNT DISTINCT person_id
WHERE Program='LABOUR AND DELIVERY PROGRAM'
  AND concept_name='Management given to newborn'
  AND obs_value_coded='Kangaroo mother care'</t>
        </is>
      </c>
      <c r="J30" s="58" t="inlineStr">
        <is>
          <t>Baby Birthweight</t>
        </is>
      </c>
      <c r="K30" s="59" t="inlineStr">
        <is>
          <t>&lt; 2.500 kg OR Gestation weeks &lt; 37</t>
        </is>
      </c>
      <c r="L30" s="117" t="inlineStr">
        <is>
          <t>LABOUR AND DELIVERY VISIT</t>
        </is>
      </c>
      <c r="M30" s="61" t="inlineStr">
        <is>
          <t>COUNT DISTINCT person_id
WHERE Program='LABOUR AND DELIVERY PROGRAM'
  AND (
    (concept_name='Baby Birthweight' AND ValueN &lt; 2.5)
    OR
    (concept_name='Gestation weeks' AND ValueN &lt; 37)
  )</t>
        </is>
      </c>
      <c r="N30" s="62" t="inlineStr">
        <is>
          <t>(N ÷ D) × 100</t>
        </is>
      </c>
      <c r="O30" s="115" t="inlineStr">
        <is>
          <t>iKMC initiated</t>
        </is>
      </c>
      <c r="P30" s="63" t="inlineStr">
        <is>
          <t>'iKMC initiated' absent; MAHIS: 'Management given to newborn'='Kangaroo mother care'</t>
        </is>
      </c>
      <c r="Q30" s="64" t="inlineStr">
        <is>
          <t>Use 'Kangaroo mother care'; denominator = LBW (&lt;2.5kg) or preterm (&lt;37wks)</t>
        </is>
      </c>
    </row>
    <row r="31" ht="90" customHeight="1">
      <c r="A31" s="109" t="inlineStr">
        <is>
          <t>mnid_nb_003</t>
        </is>
      </c>
      <c r="B31" s="110" t="inlineStr">
        <is>
          <t>Newborn</t>
        </is>
      </c>
      <c r="C31" s="111" t="inlineStr">
        <is>
          <t>Prophylactic CPAP (babies 1000–1499g)</t>
        </is>
      </c>
      <c r="D31" s="112" t="inlineStr">
        <is>
          <t>80%</t>
        </is>
      </c>
      <c r="E31" s="118" t="inlineStr">
        <is>
          <t>Partial — incomplete data</t>
        </is>
      </c>
      <c r="F31" s="58" t="inlineStr">
        <is>
          <t>Management given to newborn LIKE '%CPAP%'</t>
        </is>
      </c>
      <c r="G31" s="59" t="inlineStr">
        <is>
          <t>+ Baby Birthweight 1.0–1.499 kg</t>
        </is>
      </c>
      <c r="H31" s="113" t="inlineStr">
        <is>
          <t>LABOUR AND DELIVERY VISIT</t>
        </is>
      </c>
      <c r="I31" s="61" t="inlineStr">
        <is>
          <t>COUNT DISTINCT person_id
WHERE Program='LABOUR AND DELIVERY PROGRAM'
  AND concept_name='Management given to newborn'
  AND obs_value_coded LIKE '%CPAP%'
  AND person_id IN (
    SELECT person_id FROM obs
    WHERE concept_name='Baby Birthweight'
      AND ValueN BETWEEN 1.0 AND 1.499
  )</t>
        </is>
      </c>
      <c r="J31" s="58" t="inlineStr">
        <is>
          <t>Baby Birthweight</t>
        </is>
      </c>
      <c r="K31" s="59" t="inlineStr">
        <is>
          <t>BETWEEN 1.000 AND 1.499 kg</t>
        </is>
      </c>
      <c r="L31" s="113" t="inlineStr">
        <is>
          <t>LABOUR AND DELIVERY VISIT</t>
        </is>
      </c>
      <c r="M31" s="61" t="inlineStr">
        <is>
          <t>COUNT DISTINCT person_id
WHERE Program='LABOUR AND DELIVERY PROGRAM'
  AND concept_name='Baby Birthweight'
  AND ValueN BETWEEN 1.0 AND 1.499</t>
        </is>
      </c>
      <c r="N31" s="62" t="inlineStr">
        <is>
          <t>(N ÷ D) × 100</t>
        </is>
      </c>
      <c r="O31" s="111" t="inlineStr">
        <is>
          <t>CPAP support</t>
        </is>
      </c>
      <c r="P31" s="63" t="inlineStr">
        <is>
          <t>'CPAP support' absent; MAHIS: 'CPAP(Continuous Positive Airway Pressure)' under 'Management given to newborn'. CPAP type not captured.</t>
        </is>
      </c>
      <c r="Q31" s="64" t="inlineStr">
        <is>
          <t>LIKE '%CPAP%' filter + birth weight 1.0–1.499 kg filter</t>
        </is>
      </c>
    </row>
    <row r="32" ht="90" customHeight="1">
      <c r="A32" s="114" t="inlineStr">
        <is>
          <t>mnid_nb_004</t>
        </is>
      </c>
      <c r="B32" s="110" t="inlineStr">
        <is>
          <t>Newborn</t>
        </is>
      </c>
      <c r="C32" s="115" t="inlineStr">
        <is>
          <t>CPAP for eligible babies (1500–1999g)</t>
        </is>
      </c>
      <c r="D32" s="116" t="inlineStr">
        <is>
          <t>80%</t>
        </is>
      </c>
      <c r="E32" s="118" t="inlineStr">
        <is>
          <t>Partial — incomplete data</t>
        </is>
      </c>
      <c r="F32" s="58" t="inlineStr">
        <is>
          <t>Management given to newborn LIKE '%CPAP%'</t>
        </is>
      </c>
      <c r="G32" s="59" t="inlineStr">
        <is>
          <t>+ Baby Birthweight 1.5–1.999 kg</t>
        </is>
      </c>
      <c r="H32" s="117" t="inlineStr">
        <is>
          <t>LABOUR AND DELIVERY VISIT</t>
        </is>
      </c>
      <c r="I32" s="61" t="inlineStr">
        <is>
          <t>COUNT DISTINCT person_id
WHERE Program='LABOUR AND DELIVERY PROGRAM'
  AND concept_name='Management given to newborn'
  AND obs_value_coded LIKE '%CPAP%'
  AND person_id IN (
    SELECT person_id FROM obs
    WHERE concept_name='Baby Birthweight'
      AND ValueN BETWEEN 1.5 AND 1.999
  )</t>
        </is>
      </c>
      <c r="J32" s="58" t="inlineStr">
        <is>
          <t>Baby Birthweight</t>
        </is>
      </c>
      <c r="K32" s="59" t="inlineStr">
        <is>
          <t>BETWEEN 1.500 AND 1.999 kg</t>
        </is>
      </c>
      <c r="L32" s="117" t="inlineStr">
        <is>
          <t>LABOUR AND DELIVERY VISIT</t>
        </is>
      </c>
      <c r="M32" s="61" t="inlineStr">
        <is>
          <t>COUNT DISTINCT person_id
WHERE Program='LABOUR AND DELIVERY PROGRAM'
  AND concept_name='Baby Birthweight'
  AND ValueN BETWEEN 1.5 AND 1.999</t>
        </is>
      </c>
      <c r="N32" s="62" t="inlineStr">
        <is>
          <t>(N ÷ D) × 100</t>
        </is>
      </c>
      <c r="O32" s="115" t="inlineStr">
        <is>
          <t>CPAP support (1500–1999g)</t>
        </is>
      </c>
      <c r="P32" s="63" t="inlineStr">
        <is>
          <t>Same as nb_003 — different weight band. NOTE: Baby Birthweight IS captured in MAHIS.</t>
        </is>
      </c>
      <c r="Q32" s="64" t="inlineStr">
        <is>
          <t>Same approach as nb_003; filter weight 1.5–1.999 kg</t>
        </is>
      </c>
    </row>
    <row r="33" ht="90" customHeight="1">
      <c r="A33" s="109" t="inlineStr">
        <is>
          <t>mnid_nb_005</t>
        </is>
      </c>
      <c r="B33" s="110" t="inlineStr">
        <is>
          <t>Newborn</t>
        </is>
      </c>
      <c r="C33" s="111" t="inlineStr">
        <is>
          <t>Phototherapy for jaundice</t>
        </is>
      </c>
      <c r="D33" s="112" t="inlineStr">
        <is>
          <t>80%</t>
        </is>
      </c>
      <c r="E33" s="57" t="inlineStr">
        <is>
          <t>Fixable</t>
        </is>
      </c>
      <c r="F33" s="58" t="inlineStr">
        <is>
          <t>Management given to newborn</t>
        </is>
      </c>
      <c r="G33" s="59">
        <f> 'Photo Therapy'</f>
        <v/>
      </c>
      <c r="H33" s="113" t="inlineStr">
        <is>
          <t>LABOUR AND DELIVERY VISIT</t>
        </is>
      </c>
      <c r="I33" s="61" t="inlineStr">
        <is>
          <t>COUNT DISTINCT person_id
WHERE Program='LABOUR AND DELIVERY PROGRAM'
  AND concept_name='Management given to newborn'
  AND obs_value_coded='Photo Therapy'</t>
        </is>
      </c>
      <c r="J33" s="58" t="inlineStr">
        <is>
          <t>Newborn baby complications</t>
        </is>
      </c>
      <c r="K33" s="59">
        <f> 'Jaundice'</f>
        <v/>
      </c>
      <c r="L33" s="113" t="inlineStr">
        <is>
          <t>LABOUR AND DELIVERY VISIT</t>
        </is>
      </c>
      <c r="M33" s="61" t="inlineStr">
        <is>
          <t>COUNT DISTINCT person_id
WHERE Program='LABOUR AND DELIVERY PROGRAM'
  AND concept_name='Newborn baby complications'
  AND obs_value_coded='Jaundice'</t>
        </is>
      </c>
      <c r="N33" s="62" t="inlineStr">
        <is>
          <t>(N ÷ D) × 100</t>
        </is>
      </c>
      <c r="O33" s="111" t="inlineStr">
        <is>
          <t>Phototherapy given</t>
        </is>
      </c>
      <c r="P33" s="63" t="inlineStr">
        <is>
          <t>'Phototherapy given' absent; MAHIS: 'Management given to newborn'='Photo Therapy'</t>
        </is>
      </c>
      <c r="Q33" s="64" t="inlineStr">
        <is>
          <t>'Photo Therapy' under 'Management given to newborn'; denominator = jaundice cases</t>
        </is>
      </c>
    </row>
    <row r="34" ht="90" customHeight="1">
      <c r="A34" s="114" t="inlineStr">
        <is>
          <t>mnid_nb_006</t>
        </is>
      </c>
      <c r="B34" s="110" t="inlineStr">
        <is>
          <t>Newborn</t>
        </is>
      </c>
      <c r="C34" s="115" t="inlineStr">
        <is>
          <t>Antibiotics for neonatal sepsis</t>
        </is>
      </c>
      <c r="D34" s="116" t="inlineStr">
        <is>
          <t>80%</t>
        </is>
      </c>
      <c r="E34" s="118" t="inlineStr">
        <is>
          <t>Partial — incomplete data</t>
        </is>
      </c>
      <c r="F34" s="58" t="inlineStr">
        <is>
          <t>Management given to newborn</t>
        </is>
      </c>
      <c r="G34" s="59">
        <f> 'Antibiotics' (proxy for parenteral)</f>
        <v/>
      </c>
      <c r="H34" s="117" t="inlineStr">
        <is>
          <t>LABOUR AND DELIVERY VISIT</t>
        </is>
      </c>
      <c r="I34" s="61" t="inlineStr">
        <is>
          <t>COUNT DISTINCT person_id
WHERE Program='LABOUR AND DELIVERY PROGRAM'
  AND concept_name='Management given to newborn'
  AND obs_value_coded='Antibiotics'</t>
        </is>
      </c>
      <c r="J34" s="58" t="inlineStr">
        <is>
          <t>Newborn baby complications</t>
        </is>
      </c>
      <c r="K34" s="59" t="inlineStr">
        <is>
          <t>includes sepsis / infection</t>
        </is>
      </c>
      <c r="L34" s="117" t="inlineStr">
        <is>
          <t>LABOUR AND DELIVERY VISIT</t>
        </is>
      </c>
      <c r="M34" s="61" t="inlineStr">
        <is>
          <t>COUNT DISTINCT person_id
WHERE Program='LABOUR AND DELIVERY PROGRAM'
  AND concept_name='Newborn baby complications'
  AND obs_value_coded LIKE '%sepsis%'</t>
        </is>
      </c>
      <c r="N34" s="62" t="inlineStr">
        <is>
          <t>(N ÷ D) × 100  [proxy — route not captured]</t>
        </is>
      </c>
      <c r="O34" s="115" t="inlineStr">
        <is>
          <t>Parenteral antibiotics given</t>
        </is>
      </c>
      <c r="P34" s="63" t="inlineStr">
        <is>
          <t>Route (parenteral vs oral) not captured; 'Antibiotics' is a proxy only</t>
        </is>
      </c>
      <c r="Q34" s="64" t="inlineStr">
        <is>
          <t>Short-term: 'Antibiotics' as proxy. Long-term: add antibiotic route to form</t>
        </is>
      </c>
    </row>
    <row r="35" ht="90" customHeight="1">
      <c r="A35" s="109" t="inlineStr">
        <is>
          <t>mnid_nb_007</t>
        </is>
      </c>
      <c r="B35" s="110" t="inlineStr">
        <is>
          <t>Newborn</t>
        </is>
      </c>
      <c r="C35" s="111" t="inlineStr">
        <is>
          <t>Not hypothermic on NNU admission</t>
        </is>
      </c>
      <c r="D35" s="112" t="inlineStr">
        <is>
          <t>80%</t>
        </is>
      </c>
      <c r="E35" s="119" t="inlineStr">
        <is>
          <t>Requires external system</t>
        </is>
      </c>
      <c r="F35" s="58" t="inlineStr">
        <is>
          <t>NOT IN MAHIS</t>
        </is>
      </c>
      <c r="G35" s="59" t="inlineStr">
        <is>
          <t>N/A</t>
        </is>
      </c>
      <c r="H35" s="113" t="inlineStr">
        <is>
          <t>N/A</t>
        </is>
      </c>
      <c r="I35" s="61" t="inlineStr">
        <is>
          <t>CANNOT CALCULATE FROM MAHIS
Requires NNU/SCBU system:
  concept_name='Thermal status on admission'
  obs_value_coded='Not hypothermic'</t>
        </is>
      </c>
      <c r="J35" s="58" t="inlineStr">
        <is>
          <t>N/A</t>
        </is>
      </c>
      <c r="K35" s="59" t="inlineStr">
        <is>
          <t>N/A</t>
        </is>
      </c>
      <c r="L35" s="113" t="inlineStr">
        <is>
          <t>N/A</t>
        </is>
      </c>
      <c r="M35" s="61" t="inlineStr">
        <is>
          <t>CANNOT CALCULATE FROM MAHIS
Requires NNU admission records</t>
        </is>
      </c>
      <c r="N35" s="62" t="inlineStr">
        <is>
          <t>N/A — external system required</t>
        </is>
      </c>
      <c r="O35" s="111" t="inlineStr">
        <is>
          <t>Thermal status on admission</t>
        </is>
      </c>
      <c r="P35" s="63" t="inlineStr">
        <is>
          <t>MAHIS has no NNU/SCBU inpatient module. Concept absent.</t>
        </is>
      </c>
      <c r="Q35" s="64" t="inlineStr">
        <is>
          <t>Requires dedicated NNU system or a Neonatal module added to MAHIS</t>
        </is>
      </c>
    </row>
    <row r="36" ht="90" customHeight="1">
      <c r="A36" s="114" t="inlineStr">
        <is>
          <t>mnid_nb_008</t>
        </is>
      </c>
      <c r="B36" s="110" t="inlineStr">
        <is>
          <t>Newborn</t>
        </is>
      </c>
      <c r="C36" s="115" t="inlineStr">
        <is>
          <t>Not hypothermic throughout NNU stay (all readings)</t>
        </is>
      </c>
      <c r="D36" s="116" t="inlineStr">
        <is>
          <t>80%</t>
        </is>
      </c>
      <c r="E36" s="119" t="inlineStr">
        <is>
          <t>Requires external system</t>
        </is>
      </c>
      <c r="F36" s="58" t="inlineStr">
        <is>
          <t>NOT IN MAHIS</t>
        </is>
      </c>
      <c r="G36" s="59" t="inlineStr">
        <is>
          <t>N/A</t>
        </is>
      </c>
      <c r="H36" s="117" t="inlineStr">
        <is>
          <t>N/A</t>
        </is>
      </c>
      <c r="I36" s="61" t="inlineStr">
        <is>
          <t>CANNOT CALCULATE FROM MAHIS
Requires NNU system with serial
temperature readings per stay.
All readings BETWEEN 36.5 AND 37.5°C</t>
        </is>
      </c>
      <c r="J36" s="58" t="inlineStr">
        <is>
          <t>N/A</t>
        </is>
      </c>
      <c r="K36" s="59" t="inlineStr">
        <is>
          <t>N/A</t>
        </is>
      </c>
      <c r="L36" s="117" t="inlineStr">
        <is>
          <t>N/A</t>
        </is>
      </c>
      <c r="M36" s="61" t="inlineStr">
        <is>
          <t>CANNOT CALCULATE FROM MAHIS
Requires full NNU admission period
and all temperature records</t>
        </is>
      </c>
      <c r="N36" s="62" t="inlineStr">
        <is>
          <t>N/A — external system + time-series logic</t>
        </is>
      </c>
      <c r="O36" s="115" t="inlineStr">
        <is>
          <t>Serial temperature (longitudinal)</t>
        </is>
      </c>
      <c r="P36" s="63" t="inlineStr">
        <is>
          <t>MAHIS has no NNU ward monitoring. Time-series logic required.</t>
        </is>
      </c>
      <c r="Q36" s="64" t="inlineStr">
        <is>
          <t>NNU system + aggregate: MIN(temperature per stay) &gt;= 36.5</t>
        </is>
      </c>
    </row>
    <row r="37" ht="90" customHeight="1">
      <c r="A37" s="120" t="inlineStr">
        <is>
          <t>mnid_pnc_001</t>
        </is>
      </c>
      <c r="B37" s="121" t="inlineStr">
        <is>
          <t>PNC</t>
        </is>
      </c>
      <c r="C37" s="122" t="inlineStr">
        <is>
          <t>PNC mothers seen within 48 hours</t>
        </is>
      </c>
      <c r="D37" s="123" t="inlineStr">
        <is>
          <t>80%</t>
        </is>
      </c>
      <c r="E37" s="74" t="inlineStr">
        <is>
          <t>Works as-is</t>
        </is>
      </c>
      <c r="F37" s="58" t="inlineStr">
        <is>
          <t>Postnatal check period</t>
        </is>
      </c>
      <c r="G37" s="59">
        <f> 'Up to 48 hrs or before discharge'</f>
        <v/>
      </c>
      <c r="H37" s="124" t="inlineStr">
        <is>
          <t>COUNSELING</t>
        </is>
      </c>
      <c r="I37" s="61" t="inlineStr">
        <is>
          <t>COUNT DISTINCT person_id
WHERE Program='PNC PROGRAM'
  AND concept_name='Postnatal check period'
  AND obs_value_coded=
    'Up to 48 hrs or before discharge'</t>
        </is>
      </c>
      <c r="J37" s="58" t="inlineStr">
        <is>
          <t>Postnatal check period</t>
        </is>
      </c>
      <c r="K37" s="59" t="inlineStr">
        <is>
          <t>(any value)</t>
        </is>
      </c>
      <c r="L37" s="124" t="inlineStr">
        <is>
          <t>COUNSELING</t>
        </is>
      </c>
      <c r="M37" s="61" t="inlineStr">
        <is>
          <t>COUNT DISTINCT person_id
WHERE Program='PNC PROGRAM'
  AND concept_name='Postnatal check period'</t>
        </is>
      </c>
      <c r="N37" s="62" t="inlineStr">
        <is>
          <t>(N ÷ D) × 100</t>
        </is>
      </c>
      <c r="O37" s="122" t="inlineStr">
        <is>
          <t>Postnatal check period</t>
        </is>
      </c>
      <c r="P37" s="63" t="inlineStr">
        <is>
          <t>No gap — perfect match</t>
        </is>
      </c>
      <c r="Q37" s="64" t="inlineStr">
        <is>
          <t>No changes needed</t>
        </is>
      </c>
    </row>
    <row r="38" ht="90" customHeight="1">
      <c r="A38" s="125" t="inlineStr">
        <is>
          <t>mnid_pnc_002</t>
        </is>
      </c>
      <c r="B38" s="121" t="inlineStr">
        <is>
          <t>PNC</t>
        </is>
      </c>
      <c r="C38" s="126" t="inlineStr">
        <is>
          <t>BCG vaccination coverage (newborns)</t>
        </is>
      </c>
      <c r="D38" s="127" t="inlineStr">
        <is>
          <t>90%</t>
        </is>
      </c>
      <c r="E38" s="74" t="inlineStr">
        <is>
          <t>Works as-is</t>
        </is>
      </c>
      <c r="F38" s="58" t="inlineStr">
        <is>
          <t>Type of immunization the baby received OR Immunisation given</t>
        </is>
      </c>
      <c r="G38" s="59">
        <f> 'BCG'</f>
        <v/>
      </c>
      <c r="H38" s="128" t="inlineStr">
        <is>
          <t>PNC VISIT</t>
        </is>
      </c>
      <c r="I38" s="61" t="inlineStr">
        <is>
          <t>COUNT DISTINCT person_id
WHERE Program='PNC PROGRAM'
  AND concept_name IN (
    'Type of immunization the baby received',
    'Immunisation given'
  )
  AND LOWER(obs_value_coded)='bcg'</t>
        </is>
      </c>
      <c r="J38" s="58" t="inlineStr">
        <is>
          <t>Type of immunization the baby received OR Immunisation given</t>
        </is>
      </c>
      <c r="K38" s="59" t="inlineStr">
        <is>
          <t>(any value)</t>
        </is>
      </c>
      <c r="L38" s="128" t="inlineStr">
        <is>
          <t>PNC VISIT</t>
        </is>
      </c>
      <c r="M38" s="61" t="inlineStr">
        <is>
          <t>COUNT DISTINCT person_id
WHERE Program='PNC PROGRAM'
  AND concept_name IN (
    'Type of immunization the baby received',
    'Immunisation given'
  )</t>
        </is>
      </c>
      <c r="N38" s="62" t="inlineStr">
        <is>
          <t>(N ÷ D) × 100</t>
        </is>
      </c>
      <c r="O38" s="126" t="inlineStr">
        <is>
          <t>Type of immunization the baby received / Immunisation given</t>
        </is>
      </c>
      <c r="P38" s="63" t="inlineStr">
        <is>
          <t>No gap — concept and value match</t>
        </is>
      </c>
      <c r="Q38" s="64" t="inlineStr">
        <is>
          <t>No changes needed</t>
        </is>
      </c>
    </row>
    <row r="39" ht="90" customHeight="1">
      <c r="A39" s="120" t="inlineStr">
        <is>
          <t>mnid_pnc_003</t>
        </is>
      </c>
      <c r="B39" s="121" t="inlineStr">
        <is>
          <t>PNC</t>
        </is>
      </c>
      <c r="C39" s="122" t="inlineStr">
        <is>
          <t>Exclusive breastfeeding at PNC visit</t>
        </is>
      </c>
      <c r="D39" s="123" t="inlineStr">
        <is>
          <t>80%</t>
        </is>
      </c>
      <c r="E39" s="74" t="inlineStr">
        <is>
          <t>Works as-is</t>
        </is>
      </c>
      <c r="F39" s="58" t="inlineStr">
        <is>
          <t>Breast feeding</t>
        </is>
      </c>
      <c r="G39" s="59">
        <f> 'Exclusive'</f>
        <v/>
      </c>
      <c r="H39" s="124" t="inlineStr">
        <is>
          <t>PNC VISIT / COUNSELING</t>
        </is>
      </c>
      <c r="I39" s="61" t="inlineStr">
        <is>
          <t>COUNT DISTINCT person_id
WHERE Program='PNC PROGRAM'
  AND concept_name='Breast feeding'
  AND obs_value_coded IN
    ('Exclusive','exclusive breastfeeding')</t>
        </is>
      </c>
      <c r="J39" s="58" t="inlineStr">
        <is>
          <t>Breast feeding</t>
        </is>
      </c>
      <c r="K39" s="59" t="inlineStr">
        <is>
          <t>(any value)</t>
        </is>
      </c>
      <c r="L39" s="124" t="inlineStr">
        <is>
          <t>PNC VISIT / COUNSELING</t>
        </is>
      </c>
      <c r="M39" s="61" t="inlineStr">
        <is>
          <t>COUNT DISTINCT person_id
WHERE Program='PNC PROGRAM'
  AND concept_name='Breast feeding'</t>
        </is>
      </c>
      <c r="N39" s="62" t="inlineStr">
        <is>
          <t>(N ÷ D) × 100</t>
        </is>
      </c>
      <c r="O39" s="122" t="inlineStr">
        <is>
          <t>Breast feeding</t>
        </is>
      </c>
      <c r="P39" s="63" t="inlineStr">
        <is>
          <t>No gap — exact match</t>
        </is>
      </c>
      <c r="Q39" s="64" t="inlineStr">
        <is>
          <t>No changes needed</t>
        </is>
      </c>
    </row>
    <row r="40" ht="90" customHeight="1">
      <c r="A40" s="125" t="inlineStr">
        <is>
          <t>mnid_pnc_101</t>
        </is>
      </c>
      <c r="B40" s="129" t="inlineStr">
        <is>
          <t>PNC-Complications</t>
        </is>
      </c>
      <c r="C40" s="126" t="inlineStr">
        <is>
          <t>PNC — Sepsis</t>
        </is>
      </c>
      <c r="D40" s="127" t="inlineStr">
        <is>
          <t>—</t>
        </is>
      </c>
      <c r="E40" s="74" t="inlineStr">
        <is>
          <t>Works as-is</t>
        </is>
      </c>
      <c r="F40" s="58" t="inlineStr">
        <is>
          <t>Danger signs (PNC)</t>
        </is>
      </c>
      <c r="G40" s="59">
        <f> 'sepsis'</f>
        <v/>
      </c>
      <c r="H40" s="128" t="inlineStr">
        <is>
          <t>COUNSELING</t>
        </is>
      </c>
      <c r="I40" s="61" t="inlineStr">
        <is>
          <t>COUNT DISTINCT person_id
WHERE Program='PNC PROGRAM'
  AND concept_name='Danger signs'
  AND obs_value_coded='sepsis'</t>
        </is>
      </c>
      <c r="J40" s="58" t="inlineStr">
        <is>
          <t>Postnatal complications</t>
        </is>
      </c>
      <c r="K40" s="59" t="inlineStr">
        <is>
          <t>(any value)</t>
        </is>
      </c>
      <c r="L40" s="128" t="inlineStr">
        <is>
          <t>COUNSELING</t>
        </is>
      </c>
      <c r="M40" s="61" t="inlineStr">
        <is>
          <t>COUNT DISTINCT person_id
WHERE Program='PNC PROGRAM'
  AND concept_name='Postnatal check period'</t>
        </is>
      </c>
      <c r="N40" s="62" t="inlineStr">
        <is>
          <t>(N ÷ D) × 100  [sepsis prevalence among PNC mothers]</t>
        </is>
      </c>
      <c r="O40" s="126" t="inlineStr">
        <is>
          <t>Danger signs</t>
        </is>
      </c>
      <c r="P40" s="63" t="inlineStr">
        <is>
          <t>None</t>
        </is>
      </c>
      <c r="Q40" s="64" t="inlineStr">
        <is>
          <t>Direct filter</t>
        </is>
      </c>
    </row>
    <row r="41" ht="90" customHeight="1">
      <c r="A41" s="120" t="inlineStr">
        <is>
          <t>mnid_pnc_102</t>
        </is>
      </c>
      <c r="B41" s="129" t="inlineStr">
        <is>
          <t>PNC-Complications</t>
        </is>
      </c>
      <c r="C41" s="122" t="inlineStr">
        <is>
          <t>PNC — Postpartum haemorrhage</t>
        </is>
      </c>
      <c r="D41" s="123" t="inlineStr">
        <is>
          <t>—</t>
        </is>
      </c>
      <c r="E41" s="74" t="inlineStr">
        <is>
          <t>Works as-is</t>
        </is>
      </c>
      <c r="F41" s="58" t="inlineStr">
        <is>
          <t>Danger signs (PNC)</t>
        </is>
      </c>
      <c r="G41" s="59">
        <f> 'postpartum hemorrhage'</f>
        <v/>
      </c>
      <c r="H41" s="124" t="inlineStr">
        <is>
          <t>COUNSELING</t>
        </is>
      </c>
      <c r="I41" s="61" t="inlineStr">
        <is>
          <t>COUNT DISTINCT person_id
WHERE Program='PNC PROGRAM'
  AND concept_name='Danger signs'
  AND obs_value_coded='postpartum hemorrhage'</t>
        </is>
      </c>
      <c r="J41" s="58" t="inlineStr">
        <is>
          <t>Postnatal complications</t>
        </is>
      </c>
      <c r="K41" s="59" t="inlineStr">
        <is>
          <t>(any value)</t>
        </is>
      </c>
      <c r="L41" s="124" t="inlineStr">
        <is>
          <t>COUNSELING</t>
        </is>
      </c>
      <c r="M41" s="61" t="inlineStr">
        <is>
          <t>COUNT DISTINCT person_id
WHERE Program='PNC PROGRAM'
  AND concept_name='Postnatal check period'</t>
        </is>
      </c>
      <c r="N41" s="62" t="inlineStr">
        <is>
          <t>(N ÷ D) × 100</t>
        </is>
      </c>
      <c r="O41" s="122" t="inlineStr">
        <is>
          <t>Danger signs</t>
        </is>
      </c>
      <c r="P41" s="63" t="inlineStr">
        <is>
          <t>None</t>
        </is>
      </c>
      <c r="Q41" s="64" t="inlineStr">
        <is>
          <t>Direct filter</t>
        </is>
      </c>
    </row>
    <row r="42" ht="90" customHeight="1">
      <c r="A42" s="130" t="inlineStr">
        <is>
          <t>mnid_pnc_201</t>
        </is>
      </c>
      <c r="B42" s="131" t="inlineStr">
        <is>
          <t>PNC-Medicines</t>
        </is>
      </c>
      <c r="C42" s="132" t="inlineStr">
        <is>
          <t>Vitamin A supplementation (PNC mother)</t>
        </is>
      </c>
      <c r="D42" s="133" t="inlineStr">
        <is>
          <t>90%</t>
        </is>
      </c>
      <c r="E42" s="74" t="inlineStr">
        <is>
          <t>Works as-is</t>
        </is>
      </c>
      <c r="F42" s="58" t="inlineStr">
        <is>
          <t>Vitamin A supplementation</t>
        </is>
      </c>
      <c r="G42" s="59">
        <f> 'Yes'</f>
        <v/>
      </c>
      <c r="H42" s="134" t="inlineStr">
        <is>
          <t>COUNSELING</t>
        </is>
      </c>
      <c r="I42" s="61" t="inlineStr">
        <is>
          <t>COUNT DISTINCT person_id
WHERE Program='PNC PROGRAM'
  AND concept_name='Vitamin A supplementation'
  AND obs_value_coded='Yes'</t>
        </is>
      </c>
      <c r="J42" s="58" t="inlineStr">
        <is>
          <t>Postnatal check period</t>
        </is>
      </c>
      <c r="K42" s="59" t="inlineStr">
        <is>
          <t>(all PNC mothers)</t>
        </is>
      </c>
      <c r="L42" s="134" t="inlineStr">
        <is>
          <t>COUNSELING</t>
        </is>
      </c>
      <c r="M42" s="61" t="inlineStr">
        <is>
          <t>COUNT DISTINCT person_id
WHERE Program='PNC PROGRAM'
  AND concept_name='Postnatal check period'</t>
        </is>
      </c>
      <c r="N42" s="62" t="inlineStr">
        <is>
          <t>(N ÷ D) × 100</t>
        </is>
      </c>
      <c r="O42" s="132" t="inlineStr">
        <is>
          <t>Vitamin A supplementation</t>
        </is>
      </c>
      <c r="P42" s="63" t="inlineStr">
        <is>
          <t>None — concept exists in MAHIS PNC</t>
        </is>
      </c>
      <c r="Q42" s="64" t="inlineStr">
        <is>
          <t>Direct filter</t>
        </is>
      </c>
    </row>
    <row r="43" ht="90" customHeight="1">
      <c r="A43" s="135" t="inlineStr">
        <is>
          <t>mnid_pnc_202</t>
        </is>
      </c>
      <c r="B43" s="131" t="inlineStr">
        <is>
          <t>PNC-Medicines</t>
        </is>
      </c>
      <c r="C43" s="136" t="inlineStr">
        <is>
          <t>Nevirapine (NVP) given to HIV-exposed baby</t>
        </is>
      </c>
      <c r="D43" s="137" t="inlineStr">
        <is>
          <t>95%</t>
        </is>
      </c>
      <c r="E43" s="74" t="inlineStr">
        <is>
          <t>Works as-is</t>
        </is>
      </c>
      <c r="F43" s="58" t="inlineStr">
        <is>
          <t>Nevirapine given</t>
        </is>
      </c>
      <c r="G43" s="59">
        <f> 'Yes'</f>
        <v/>
      </c>
      <c r="H43" s="138" t="inlineStr">
        <is>
          <t>PNC VISIT</t>
        </is>
      </c>
      <c r="I43" s="61" t="inlineStr">
        <is>
          <t>COUNT DISTINCT person_id
WHERE Program='PNC PROGRAM'
  AND concept_name='Nevirapine given'
  AND obs_value_coded='Yes'</t>
        </is>
      </c>
      <c r="J43" s="58" t="inlineStr">
        <is>
          <t>Mother HIV Status</t>
        </is>
      </c>
      <c r="K43" s="59">
        <f> 'positive' [HIV-exposed babies]</f>
        <v/>
      </c>
      <c r="L43" s="138" t="inlineStr">
        <is>
          <t>PNC VISIT</t>
        </is>
      </c>
      <c r="M43" s="61" t="inlineStr">
        <is>
          <t>COUNT DISTINCT person_id
WHERE Program='PNC PROGRAM'
  AND concept_name='Mother HIV Status'
  AND obs_value_coded='positive'</t>
        </is>
      </c>
      <c r="N43" s="62" t="inlineStr">
        <is>
          <t>(N ÷ D) × 100  [HIV-exposed babies receiving NVP]</t>
        </is>
      </c>
      <c r="O43" s="136" t="inlineStr">
        <is>
          <t>Nevirapine given</t>
        </is>
      </c>
      <c r="P43" s="63" t="inlineStr">
        <is>
          <t>None — concept exists in MAHIS PNC</t>
        </is>
      </c>
      <c r="Q43" s="64" t="inlineStr">
        <is>
          <t>Direct filter; denominator = HIV+ mothers</t>
        </is>
      </c>
    </row>
    <row r="44" ht="90" customHeight="1">
      <c r="A44" s="130" t="inlineStr">
        <is>
          <t>mnid_pnc_203</t>
        </is>
      </c>
      <c r="B44" s="131" t="inlineStr">
        <is>
          <t>PNC-Medicines</t>
        </is>
      </c>
      <c r="C44" s="132" t="inlineStr">
        <is>
          <t>Cotrimoxazole (CTX) prophylaxis for HIV-exposed baby</t>
        </is>
      </c>
      <c r="D44" s="133" t="inlineStr">
        <is>
          <t>95%</t>
        </is>
      </c>
      <c r="E44" s="74" t="inlineStr">
        <is>
          <t>Works as-is</t>
        </is>
      </c>
      <c r="F44" s="58" t="inlineStr">
        <is>
          <t>Cotrimoxazole prophylaxis</t>
        </is>
      </c>
      <c r="G44" s="59">
        <f> 'Yes'</f>
        <v/>
      </c>
      <c r="H44" s="134" t="inlineStr">
        <is>
          <t>PNC VISIT</t>
        </is>
      </c>
      <c r="I44" s="61" t="inlineStr">
        <is>
          <t>COUNT DISTINCT person_id
WHERE Program='PNC PROGRAM'
  AND concept_name='Cotrimoxazole prophylaxis'
  AND obs_value_coded='Yes'</t>
        </is>
      </c>
      <c r="J44" s="58" t="inlineStr">
        <is>
          <t>Mother HIV Status</t>
        </is>
      </c>
      <c r="K44" s="59">
        <f> 'positive'</f>
        <v/>
      </c>
      <c r="L44" s="134" t="inlineStr">
        <is>
          <t>PNC VISIT</t>
        </is>
      </c>
      <c r="M44" s="61" t="inlineStr">
        <is>
          <t>COUNT DISTINCT person_id
WHERE Program='PNC PROGRAM'
  AND concept_name='Mother HIV Status'
  AND obs_value_coded='positive'</t>
        </is>
      </c>
      <c r="N44" s="62" t="inlineStr">
        <is>
          <t>(N ÷ D) × 100</t>
        </is>
      </c>
      <c r="O44" s="132" t="inlineStr">
        <is>
          <t>Cotrimoxazole prophylaxis</t>
        </is>
      </c>
      <c r="P44" s="63" t="inlineStr">
        <is>
          <t>None — concept exists</t>
        </is>
      </c>
      <c r="Q44" s="64" t="inlineStr">
        <is>
          <t>Direct filter; denominator = HIV+ mothers</t>
        </is>
      </c>
    </row>
    <row r="45" ht="90" customHeight="1">
      <c r="A45" s="135" t="inlineStr">
        <is>
          <t>mnid_pnc_204</t>
        </is>
      </c>
      <c r="B45" s="131" t="inlineStr">
        <is>
          <t>PNC-Medicines</t>
        </is>
      </c>
      <c r="C45" s="136" t="inlineStr">
        <is>
          <t>Vitamin K given to newborn</t>
        </is>
      </c>
      <c r="D45" s="137" t="inlineStr">
        <is>
          <t>95%</t>
        </is>
      </c>
      <c r="E45" s="74" t="inlineStr">
        <is>
          <t>Works as-is</t>
        </is>
      </c>
      <c r="F45" s="58" t="inlineStr">
        <is>
          <t>Vitamin K given</t>
        </is>
      </c>
      <c r="G45" s="59">
        <f> 'Yes'</f>
        <v/>
      </c>
      <c r="H45" s="138" t="inlineStr">
        <is>
          <t>PNC VISIT</t>
        </is>
      </c>
      <c r="I45" s="61" t="inlineStr">
        <is>
          <t>COUNT DISTINCT person_id
WHERE Program='PNC PROGRAM'
  AND concept_name='Vitamin K given'
  AND obs_value_coded='Yes'</t>
        </is>
      </c>
      <c r="J45" s="58" t="inlineStr">
        <is>
          <t>PNC VISIT</t>
        </is>
      </c>
      <c r="K45" s="59" t="inlineStr">
        <is>
          <t>(all PNC baby visits)</t>
        </is>
      </c>
      <c r="L45" s="138" t="inlineStr">
        <is>
          <t>PNC VISIT</t>
        </is>
      </c>
      <c r="M45" s="61" t="inlineStr">
        <is>
          <t>COUNT DISTINCT person_id
WHERE Program='PNC PROGRAM'
  AND Encounter='PNC VISIT'</t>
        </is>
      </c>
      <c r="N45" s="62" t="inlineStr">
        <is>
          <t>(N ÷ D) × 100</t>
        </is>
      </c>
      <c r="O45" s="136" t="inlineStr">
        <is>
          <t>Vitamin K given</t>
        </is>
      </c>
      <c r="P45" s="63" t="inlineStr">
        <is>
          <t>None — concept exists</t>
        </is>
      </c>
      <c r="Q45" s="64" t="inlineStr">
        <is>
          <t>Direct filter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16" customWidth="1" min="4" max="4"/>
    <col width="20" customWidth="1" min="5" max="5"/>
  </cols>
  <sheetData>
    <row r="1" ht="34" customHeight="1">
      <c r="A1" s="16" t="inlineStr">
        <is>
          <t>MAHIS Color Coding Reference — Graph &amp; Dashboard Colors</t>
        </is>
      </c>
    </row>
    <row r="2" ht="28" customHeight="1">
      <c r="A2" s="52" t="inlineStr">
        <is>
          <t>Token / Role</t>
        </is>
      </c>
      <c r="B2" s="52" t="inlineStr">
        <is>
          <t>Hex Code</t>
        </is>
      </c>
      <c r="C2" s="52" t="inlineStr">
        <is>
          <t>Description / Usage</t>
        </is>
      </c>
      <c r="D2" s="52" t="inlineStr">
        <is>
          <t>Color Name</t>
        </is>
      </c>
      <c r="E2" s="52" t="inlineStr">
        <is>
          <t>Preview</t>
        </is>
      </c>
    </row>
    <row r="3" ht="22" customHeight="1">
      <c r="A3" s="139" t="inlineStr">
        <is>
          <t>STATUS COLORS</t>
        </is>
      </c>
    </row>
    <row r="4" ht="20" customHeight="1">
      <c r="A4" s="140" t="inlineStr">
        <is>
          <t>ok_dark</t>
        </is>
      </c>
      <c r="B4" s="141" t="inlineStr">
        <is>
          <t>#3B6D11</t>
        </is>
      </c>
      <c r="C4" s="142" t="inlineStr">
        <is>
          <t>On Target (≥100% of target) — KPI, progress bar, card border, heatmap ≥88%</t>
        </is>
      </c>
      <c r="D4" s="142" t="inlineStr">
        <is>
          <t>Dark Green</t>
        </is>
      </c>
      <c r="E4" s="143" t="inlineStr">
        <is>
          <t> </t>
        </is>
      </c>
    </row>
    <row r="5" ht="20" customHeight="1">
      <c r="A5" s="140" t="inlineStr">
        <is>
          <t>ok_mid</t>
        </is>
      </c>
      <c r="B5" s="141" t="inlineStr">
        <is>
          <t>#C0DD97</t>
        </is>
      </c>
      <c r="C5" s="142" t="inlineStr">
        <is>
          <t>On Target — pill border, heatmap 88–100%</t>
        </is>
      </c>
      <c r="D5" s="142" t="inlineStr">
        <is>
          <t>Light Green</t>
        </is>
      </c>
      <c r="E5" s="144" t="inlineStr">
        <is>
          <t> </t>
        </is>
      </c>
    </row>
    <row r="6" ht="20" customHeight="1">
      <c r="A6" s="140" t="inlineStr">
        <is>
          <t>ok_light</t>
        </is>
      </c>
      <c r="B6" s="141" t="inlineStr">
        <is>
          <t>#EAF3DE</t>
        </is>
      </c>
      <c r="C6" s="142" t="inlineStr">
        <is>
          <t>On Target — background of alert / pill</t>
        </is>
      </c>
      <c r="D6" s="142" t="inlineStr">
        <is>
          <t>Pale Green</t>
        </is>
      </c>
      <c r="E6" s="145" t="inlineStr">
        <is>
          <t> </t>
        </is>
      </c>
    </row>
    <row r="7" ht="20" customHeight="1">
      <c r="A7" s="140" t="inlineStr">
        <is>
          <t>warn_dark</t>
        </is>
      </c>
      <c r="B7" s="141" t="inlineStr">
        <is>
          <t>#BA7517</t>
        </is>
      </c>
      <c r="C7" s="142" t="inlineStr">
        <is>
          <t>Performing (85–99% of target) — KPI, progress bar, heatmap 65–80%</t>
        </is>
      </c>
      <c r="D7" s="142" t="inlineStr">
        <is>
          <t>Amber</t>
        </is>
      </c>
      <c r="E7" s="146" t="inlineStr">
        <is>
          <t> </t>
        </is>
      </c>
    </row>
    <row r="8" ht="20" customHeight="1">
      <c r="A8" s="140" t="inlineStr">
        <is>
          <t>warn_mid</t>
        </is>
      </c>
      <c r="B8" s="141" t="inlineStr">
        <is>
          <t>#FAC775</t>
        </is>
      </c>
      <c r="C8" s="142" t="inlineStr">
        <is>
          <t>Performing — pill border, heatmap 80–88%, awaiting card border</t>
        </is>
      </c>
      <c r="D8" s="142" t="inlineStr">
        <is>
          <t>Light Amber</t>
        </is>
      </c>
      <c r="E8" s="147" t="inlineStr">
        <is>
          <t> </t>
        </is>
      </c>
    </row>
    <row r="9" ht="20" customHeight="1">
      <c r="A9" s="140" t="inlineStr">
        <is>
          <t>warn_light</t>
        </is>
      </c>
      <c r="B9" s="141" t="inlineStr">
        <is>
          <t>#FAEEDA</t>
        </is>
      </c>
      <c r="C9" s="142" t="inlineStr">
        <is>
          <t>Performing — background of alert / pill</t>
        </is>
      </c>
      <c r="D9" s="142" t="inlineStr">
        <is>
          <t>Pale Amber</t>
        </is>
      </c>
      <c r="E9" s="148" t="inlineStr">
        <is>
          <t> </t>
        </is>
      </c>
    </row>
    <row r="10" ht="20" customHeight="1">
      <c r="A10" s="140" t="inlineStr">
        <is>
          <t>danger_dark</t>
        </is>
      </c>
      <c r="B10" s="141" t="inlineStr">
        <is>
          <t>#A32D2D</t>
        </is>
      </c>
      <c r="C10" s="142" t="inlineStr">
        <is>
          <t>Needs Review (&lt;85% of target) — KPI metric text</t>
        </is>
      </c>
      <c r="D10" s="142" t="inlineStr">
        <is>
          <t>Dark Red</t>
        </is>
      </c>
      <c r="E10" s="149" t="inlineStr">
        <is>
          <t> </t>
        </is>
      </c>
    </row>
    <row r="11" ht="20" customHeight="1">
      <c r="A11" s="140" t="inlineStr">
        <is>
          <t>danger_mid</t>
        </is>
      </c>
      <c r="B11" s="141" t="inlineStr">
        <is>
          <t>#E24B4A</t>
        </is>
      </c>
      <c r="C11" s="142" t="inlineStr">
        <is>
          <t>Needs Review — progress bar, heatmap 40–65%</t>
        </is>
      </c>
      <c r="D11" s="142" t="inlineStr">
        <is>
          <t>Red</t>
        </is>
      </c>
      <c r="E11" s="150" t="inlineStr">
        <is>
          <t> </t>
        </is>
      </c>
    </row>
    <row r="12" ht="20" customHeight="1">
      <c r="A12" s="140" t="inlineStr">
        <is>
          <t>danger_light</t>
        </is>
      </c>
      <c r="B12" s="141" t="inlineStr">
        <is>
          <t>#FCEBEB</t>
        </is>
      </c>
      <c r="C12" s="142" t="inlineStr">
        <is>
          <t>Needs Review — background of alert / pill</t>
        </is>
      </c>
      <c r="D12" s="142" t="inlineStr">
        <is>
          <t>Pale Red</t>
        </is>
      </c>
      <c r="E12" s="151" t="inlineStr">
        <is>
          <t> </t>
        </is>
      </c>
    </row>
    <row r="13" ht="20" customHeight="1">
      <c r="A13" s="140" t="inlineStr">
        <is>
          <t>danger_border</t>
        </is>
      </c>
      <c r="B13" s="141" t="inlineStr">
        <is>
          <t>#F7C1C1</t>
        </is>
      </c>
      <c r="C13" s="142" t="inlineStr">
        <is>
          <t>Needs Review — pill border</t>
        </is>
      </c>
      <c r="D13" s="142" t="inlineStr">
        <is>
          <t>Pink Red</t>
        </is>
      </c>
      <c r="E13" s="152" t="inlineStr">
        <is>
          <t> </t>
        </is>
      </c>
    </row>
    <row r="14" ht="20" customHeight="1">
      <c r="A14" s="140" t="inlineStr">
        <is>
          <t>info_dark</t>
        </is>
      </c>
      <c r="B14" s="141" t="inlineStr">
        <is>
          <t>#0C447C</t>
        </is>
      </c>
      <c r="C14" s="142" t="inlineStr">
        <is>
          <t>Info / Blue — pill text</t>
        </is>
      </c>
      <c r="D14" s="142" t="inlineStr">
        <is>
          <t>Dark Blue</t>
        </is>
      </c>
      <c r="E14" s="153" t="inlineStr">
        <is>
          <t> </t>
        </is>
      </c>
    </row>
    <row r="15" ht="20" customHeight="1">
      <c r="A15" s="140" t="inlineStr">
        <is>
          <t>info_mid</t>
        </is>
      </c>
      <c r="B15" s="141" t="inlineStr">
        <is>
          <t>#185FA5</t>
        </is>
      </c>
      <c r="C15" s="142" t="inlineStr">
        <is>
          <t>Info / Blue — KPI text, tab active, progress bar</t>
        </is>
      </c>
      <c r="D15" s="142" t="inlineStr">
        <is>
          <t>Blue</t>
        </is>
      </c>
      <c r="E15" s="154" t="inlineStr">
        <is>
          <t> </t>
        </is>
      </c>
    </row>
    <row r="16" ht="20" customHeight="1">
      <c r="A16" s="140" t="inlineStr">
        <is>
          <t>info_light</t>
        </is>
      </c>
      <c r="B16" s="141" t="inlineStr">
        <is>
          <t>#E6F1FB</t>
        </is>
      </c>
      <c r="C16" s="142" t="inlineStr">
        <is>
          <t>Info / Blue — pill background</t>
        </is>
      </c>
      <c r="D16" s="142" t="inlineStr">
        <is>
          <t>Pale Blue</t>
        </is>
      </c>
      <c r="E16" s="155" t="inlineStr">
        <is>
          <t> </t>
        </is>
      </c>
    </row>
    <row r="17" ht="20" customHeight="1">
      <c r="A17" s="140" t="inlineStr">
        <is>
          <t>info_border</t>
        </is>
      </c>
      <c r="B17" s="141" t="inlineStr">
        <is>
          <t>#B5D4F4</t>
        </is>
      </c>
      <c r="C17" s="142" t="inlineStr">
        <is>
          <t>Info / Blue — pill border</t>
        </is>
      </c>
      <c r="D17" s="142" t="inlineStr">
        <is>
          <t>Light Blue</t>
        </is>
      </c>
      <c r="E17" s="156" t="inlineStr">
        <is>
          <t> </t>
        </is>
      </c>
    </row>
    <row r="18" ht="22" customHeight="1">
      <c r="A18" s="139" t="inlineStr">
        <is>
          <t>HEATMAP SCALE (6-stop diverging)</t>
        </is>
      </c>
    </row>
    <row r="19" ht="20" customHeight="1">
      <c r="A19" s="140" t="inlineStr">
        <is>
          <t>heat_0</t>
        </is>
      </c>
      <c r="B19" s="141" t="inlineStr">
        <is>
          <t>#FCE4E4</t>
        </is>
      </c>
      <c r="C19" s="142" t="inlineStr">
        <is>
          <t>Heatmap: 0 – 40% of target</t>
        </is>
      </c>
      <c r="D19" s="142" t="inlineStr">
        <is>
          <t>Very Light Red</t>
        </is>
      </c>
      <c r="E19" s="157" t="inlineStr">
        <is>
          <t> </t>
        </is>
      </c>
    </row>
    <row r="20" ht="20" customHeight="1">
      <c r="A20" s="140" t="inlineStr">
        <is>
          <t>heat_1</t>
        </is>
      </c>
      <c r="B20" s="141" t="inlineStr">
        <is>
          <t>#E24B4A</t>
        </is>
      </c>
      <c r="C20" s="142" t="inlineStr">
        <is>
          <t>Heatmap: 40 – 65% of target</t>
        </is>
      </c>
      <c r="D20" s="142" t="inlineStr">
        <is>
          <t>Red</t>
        </is>
      </c>
      <c r="E20" s="150" t="inlineStr">
        <is>
          <t> </t>
        </is>
      </c>
    </row>
    <row r="21" ht="20" customHeight="1">
      <c r="A21" s="140" t="inlineStr">
        <is>
          <t>heat_2</t>
        </is>
      </c>
      <c r="B21" s="141" t="inlineStr">
        <is>
          <t>#BA7517</t>
        </is>
      </c>
      <c r="C21" s="142" t="inlineStr">
        <is>
          <t>Heatmap: 65 – 80% of target</t>
        </is>
      </c>
      <c r="D21" s="142" t="inlineStr">
        <is>
          <t>Amber</t>
        </is>
      </c>
      <c r="E21" s="146" t="inlineStr">
        <is>
          <t> </t>
        </is>
      </c>
    </row>
    <row r="22" ht="20" customHeight="1">
      <c r="A22" s="140" t="inlineStr">
        <is>
          <t>heat_3</t>
        </is>
      </c>
      <c r="B22" s="141" t="inlineStr">
        <is>
          <t>#FAC775</t>
        </is>
      </c>
      <c r="C22" s="142" t="inlineStr">
        <is>
          <t>Heatmap: 80 – 88% of target</t>
        </is>
      </c>
      <c r="D22" s="142" t="inlineStr">
        <is>
          <t>Light Amber</t>
        </is>
      </c>
      <c r="E22" s="147" t="inlineStr">
        <is>
          <t> </t>
        </is>
      </c>
    </row>
    <row r="23" ht="20" customHeight="1">
      <c r="A23" s="140" t="inlineStr">
        <is>
          <t>heat_4</t>
        </is>
      </c>
      <c r="B23" s="141" t="inlineStr">
        <is>
          <t>#C0DD97</t>
        </is>
      </c>
      <c r="C23" s="142" t="inlineStr">
        <is>
          <t>Heatmap: 88 – 100% of target</t>
        </is>
      </c>
      <c r="D23" s="142" t="inlineStr">
        <is>
          <t>Light Green</t>
        </is>
      </c>
      <c r="E23" s="144" t="inlineStr">
        <is>
          <t> </t>
        </is>
      </c>
    </row>
    <row r="24" ht="20" customHeight="1">
      <c r="A24" s="140" t="inlineStr">
        <is>
          <t>heat_5</t>
        </is>
      </c>
      <c r="B24" s="141" t="inlineStr">
        <is>
          <t>#3B6D11</t>
        </is>
      </c>
      <c r="C24" s="142" t="inlineStr">
        <is>
          <t>Heatmap: ≥ 100% of target</t>
        </is>
      </c>
      <c r="D24" s="142" t="inlineStr">
        <is>
          <t>Deep Green</t>
        </is>
      </c>
      <c r="E24" s="143" t="inlineStr">
        <is>
          <t> </t>
        </is>
      </c>
    </row>
    <row r="25" ht="22" customHeight="1">
      <c r="A25" s="139" t="inlineStr">
        <is>
          <t>UI BASE COLORS</t>
        </is>
      </c>
    </row>
    <row r="26" ht="20" customHeight="1">
      <c r="A26" s="140" t="inlineStr">
        <is>
          <t>text_primary</t>
        </is>
      </c>
      <c r="B26" s="141" t="inlineStr">
        <is>
          <t>#1A1A18</t>
        </is>
      </c>
      <c r="C26" s="142" t="inlineStr">
        <is>
          <t>Primary text — headings, KPI values</t>
        </is>
      </c>
      <c r="D26" s="142" t="inlineStr">
        <is>
          <t>Near Black</t>
        </is>
      </c>
      <c r="E26" s="158" t="inlineStr">
        <is>
          <t> </t>
        </is>
      </c>
    </row>
    <row r="27" ht="20" customHeight="1">
      <c r="A27" s="140" t="inlineStr">
        <is>
          <t>text_sec</t>
        </is>
      </c>
      <c r="B27" s="141" t="inlineStr">
        <is>
          <t>#73726C</t>
        </is>
      </c>
      <c r="C27" s="142" t="inlineStr">
        <is>
          <t>Secondary text — labels, subtitles</t>
        </is>
      </c>
      <c r="D27" s="142" t="inlineStr">
        <is>
          <t>Medium Grey</t>
        </is>
      </c>
      <c r="E27" s="159" t="inlineStr">
        <is>
          <t> </t>
        </is>
      </c>
    </row>
    <row r="28" ht="20" customHeight="1">
      <c r="A28" s="140" t="inlineStr">
        <is>
          <t>text_muted</t>
        </is>
      </c>
      <c r="B28" s="141" t="inlineStr">
        <is>
          <t>#B4B2A9</t>
        </is>
      </c>
      <c r="C28" s="142" t="inlineStr">
        <is>
          <t>Muted text — placeholders, hints</t>
        </is>
      </c>
      <c r="D28" s="142" t="inlineStr">
        <is>
          <t>Light Grey</t>
        </is>
      </c>
      <c r="E28" s="160" t="inlineStr">
        <is>
          <t> </t>
        </is>
      </c>
    </row>
    <row r="29" ht="20" customHeight="1">
      <c r="A29" s="140" t="inlineStr">
        <is>
          <t>border_ui</t>
        </is>
      </c>
      <c r="B29" s="141" t="inlineStr">
        <is>
          <t>#E0DED6</t>
        </is>
      </c>
      <c r="C29" s="142" t="inlineStr">
        <is>
          <t>UI borders — cards, tables, dividers</t>
        </is>
      </c>
      <c r="D29" s="142" t="inlineStr">
        <is>
          <t>Warm Grey</t>
        </is>
      </c>
      <c r="E29" s="161" t="inlineStr">
        <is>
          <t> </t>
        </is>
      </c>
    </row>
    <row r="30" ht="20" customHeight="1">
      <c r="A30" s="140" t="inlineStr">
        <is>
          <t>bg_page</t>
        </is>
      </c>
      <c r="B30" s="141" t="inlineStr">
        <is>
          <t>#F5F4F0</t>
        </is>
      </c>
      <c r="C30" s="142" t="inlineStr">
        <is>
          <t>Page background</t>
        </is>
      </c>
      <c r="D30" s="142" t="inlineStr">
        <is>
          <t>Off White</t>
        </is>
      </c>
      <c r="E30" s="162" t="inlineStr">
        <is>
          <t> </t>
        </is>
      </c>
    </row>
    <row r="31" ht="20" customHeight="1">
      <c r="A31" s="140" t="inlineStr">
        <is>
          <t>bg_card</t>
        </is>
      </c>
      <c r="B31" s="141" t="inlineStr">
        <is>
          <t>#FFFFFF</t>
        </is>
      </c>
      <c r="C31" s="142" t="inlineStr">
        <is>
          <t>Card background</t>
        </is>
      </c>
      <c r="D31" s="142" t="inlineStr">
        <is>
          <t>White</t>
        </is>
      </c>
      <c r="E31" s="163" t="inlineStr">
        <is>
          <t> </t>
        </is>
      </c>
    </row>
    <row r="32" ht="20" customHeight="1">
      <c r="A32" s="140" t="inlineStr">
        <is>
          <t>bg_subtle</t>
        </is>
      </c>
      <c r="B32" s="141" t="inlineStr">
        <is>
          <t>#F1EFE8</t>
        </is>
      </c>
      <c r="C32" s="142" t="inlineStr">
        <is>
          <t>Subtle section background</t>
        </is>
      </c>
      <c r="D32" s="142" t="inlineStr">
        <is>
          <t>Warm Off White</t>
        </is>
      </c>
      <c r="E32" s="164" t="inlineStr">
        <is>
          <t> </t>
        </is>
      </c>
    </row>
    <row r="33" ht="22" customHeight="1">
      <c r="A33" s="139" t="inlineStr">
        <is>
          <t>CARE-PHASE / PROGRAM COLORS</t>
        </is>
      </c>
    </row>
    <row r="34" ht="20" customHeight="1">
      <c r="A34" s="140" t="inlineStr">
        <is>
          <t>anc_green</t>
        </is>
      </c>
      <c r="B34" s="141" t="inlineStr">
        <is>
          <t>#27500A</t>
        </is>
      </c>
      <c r="C34" s="142" t="inlineStr">
        <is>
          <t>ANC Program — primary (deep green)</t>
        </is>
      </c>
      <c r="D34" s="142" t="inlineStr">
        <is>
          <t>Dark Green</t>
        </is>
      </c>
      <c r="E34" s="165" t="inlineStr">
        <is>
          <t> </t>
        </is>
      </c>
    </row>
    <row r="35" ht="20" customHeight="1">
      <c r="A35" s="140" t="inlineStr">
        <is>
          <t>anc_light</t>
        </is>
      </c>
      <c r="B35" s="141" t="inlineStr">
        <is>
          <t>#EAF3DE</t>
        </is>
      </c>
      <c r="C35" s="142" t="inlineStr">
        <is>
          <t>ANC Program — backgrounds</t>
        </is>
      </c>
      <c r="D35" s="142" t="inlineStr">
        <is>
          <t>Pale Green</t>
        </is>
      </c>
      <c r="E35" s="145" t="inlineStr">
        <is>
          <t> </t>
        </is>
      </c>
    </row>
    <row r="36" ht="20" customHeight="1">
      <c r="A36" s="140" t="inlineStr">
        <is>
          <t>labour_blue</t>
        </is>
      </c>
      <c r="B36" s="141" t="inlineStr">
        <is>
          <t>#0D47A1</t>
        </is>
      </c>
      <c r="C36" s="142" t="inlineStr">
        <is>
          <t>Labour &amp; Delivery — primary (deep blue)</t>
        </is>
      </c>
      <c r="D36" s="142" t="inlineStr">
        <is>
          <t>Dark Blue</t>
        </is>
      </c>
      <c r="E36" s="166" t="inlineStr">
        <is>
          <t> </t>
        </is>
      </c>
    </row>
    <row r="37" ht="20" customHeight="1">
      <c r="A37" s="140" t="inlineStr">
        <is>
          <t>labour_light</t>
        </is>
      </c>
      <c r="B37" s="141" t="inlineStr">
        <is>
          <t>#E3F2FD</t>
        </is>
      </c>
      <c r="C37" s="142" t="inlineStr">
        <is>
          <t>Labour &amp; Delivery — backgrounds</t>
        </is>
      </c>
      <c r="D37" s="142" t="inlineStr">
        <is>
          <t>Pale Blue</t>
        </is>
      </c>
      <c r="E37" s="167" t="inlineStr">
        <is>
          <t> </t>
        </is>
      </c>
    </row>
    <row r="38" ht="20" customHeight="1">
      <c r="A38" s="140" t="inlineStr">
        <is>
          <t>pnc_pink</t>
        </is>
      </c>
      <c r="B38" s="141" t="inlineStr">
        <is>
          <t>#880E4F</t>
        </is>
      </c>
      <c r="C38" s="142" t="inlineStr">
        <is>
          <t>PNC Program — primary (deep pink)</t>
        </is>
      </c>
      <c r="D38" s="142" t="inlineStr">
        <is>
          <t>Dark Pink</t>
        </is>
      </c>
      <c r="E38" s="168" t="inlineStr">
        <is>
          <t> </t>
        </is>
      </c>
    </row>
    <row r="39" ht="20" customHeight="1">
      <c r="A39" s="140" t="inlineStr">
        <is>
          <t>pnc_light</t>
        </is>
      </c>
      <c r="B39" s="141" t="inlineStr">
        <is>
          <t>#FCE4EC</t>
        </is>
      </c>
      <c r="C39" s="142" t="inlineStr">
        <is>
          <t>PNC Program — backgrounds</t>
        </is>
      </c>
      <c r="D39" s="142" t="inlineStr">
        <is>
          <t>Pale Pink</t>
        </is>
      </c>
      <c r="E39" s="169" t="inlineStr">
        <is>
          <t> </t>
        </is>
      </c>
    </row>
    <row r="40" ht="20" customHeight="1">
      <c r="A40" s="140" t="inlineStr">
        <is>
          <t>newborn_purple</t>
        </is>
      </c>
      <c r="B40" s="141" t="inlineStr">
        <is>
          <t>#4A148C</t>
        </is>
      </c>
      <c r="C40" s="142" t="inlineStr">
        <is>
          <t>Newborn Care — primary (deep purple)</t>
        </is>
      </c>
      <c r="D40" s="142" t="inlineStr">
        <is>
          <t>Deep Purple</t>
        </is>
      </c>
      <c r="E40" s="170" t="inlineStr">
        <is>
          <t> </t>
        </is>
      </c>
    </row>
    <row r="41" ht="20" customHeight="1">
      <c r="A41" s="140" t="inlineStr">
        <is>
          <t>newborn_light</t>
        </is>
      </c>
      <c r="B41" s="141" t="inlineStr">
        <is>
          <t>#F3E5F5</t>
        </is>
      </c>
      <c r="C41" s="142" t="inlineStr">
        <is>
          <t>Newborn Care — backgrounds</t>
        </is>
      </c>
      <c r="D41" s="142" t="inlineStr">
        <is>
          <t>Pale Purple</t>
        </is>
      </c>
      <c r="E41" s="171" t="inlineStr">
        <is>
          <t> </t>
        </is>
      </c>
    </row>
    <row r="42" ht="20" customHeight="1">
      <c r="A42" s="140" t="inlineStr">
        <is>
          <t>maternal_lime</t>
        </is>
      </c>
      <c r="B42" s="141" t="inlineStr">
        <is>
          <t>#558B2F</t>
        </is>
      </c>
      <c r="C42" s="142" t="inlineStr">
        <is>
          <t>Maternal Outcomes — lime green</t>
        </is>
      </c>
      <c r="D42" s="142" t="inlineStr">
        <is>
          <t>Lime</t>
        </is>
      </c>
      <c r="E42" s="172" t="inlineStr">
        <is>
          <t> </t>
        </is>
      </c>
    </row>
    <row r="43" ht="22" customHeight="1">
      <c r="A43" s="139" t="inlineStr">
        <is>
          <t>PLOTLY GRAPH PALETTE (12 categorical colors)</t>
        </is>
      </c>
    </row>
    <row r="44" ht="20" customHeight="1">
      <c r="A44" s="140" t="inlineStr">
        <is>
          <t>graph_1</t>
        </is>
      </c>
      <c r="B44" s="141" t="inlineStr">
        <is>
          <t>#185FA5</t>
        </is>
      </c>
      <c r="C44" s="142" t="inlineStr">
        <is>
          <t>Series 1 — Primary data series (Blue)</t>
        </is>
      </c>
      <c r="D44" s="142" t="inlineStr">
        <is>
          <t>Blue</t>
        </is>
      </c>
      <c r="E44" s="154" t="inlineStr">
        <is>
          <t> </t>
        </is>
      </c>
    </row>
    <row r="45" ht="20" customHeight="1">
      <c r="A45" s="140" t="inlineStr">
        <is>
          <t>graph_2</t>
        </is>
      </c>
      <c r="B45" s="141" t="inlineStr">
        <is>
          <t>#3B6D11</t>
        </is>
      </c>
      <c r="C45" s="142" t="inlineStr">
        <is>
          <t>Series 2 — Positive / comparison (Green)</t>
        </is>
      </c>
      <c r="D45" s="142" t="inlineStr">
        <is>
          <t>Green</t>
        </is>
      </c>
      <c r="E45" s="143" t="inlineStr">
        <is>
          <t> </t>
        </is>
      </c>
    </row>
    <row r="46" ht="20" customHeight="1">
      <c r="A46" s="140" t="inlineStr">
        <is>
          <t>graph_3</t>
        </is>
      </c>
      <c r="B46" s="141" t="inlineStr">
        <is>
          <t>#BA7517</t>
        </is>
      </c>
      <c r="C46" s="142" t="inlineStr">
        <is>
          <t>Series 3 — Third series / warning (Amber)</t>
        </is>
      </c>
      <c r="D46" s="142" t="inlineStr">
        <is>
          <t>Amber</t>
        </is>
      </c>
      <c r="E46" s="146" t="inlineStr">
        <is>
          <t> </t>
        </is>
      </c>
    </row>
    <row r="47" ht="20" customHeight="1">
      <c r="A47" s="140" t="inlineStr">
        <is>
          <t>graph_4</t>
        </is>
      </c>
      <c r="B47" s="141" t="inlineStr">
        <is>
          <t>#A32D2D</t>
        </is>
      </c>
      <c r="C47" s="142" t="inlineStr">
        <is>
          <t>Series 4 — Negative / alert (Dark Red)</t>
        </is>
      </c>
      <c r="D47" s="142" t="inlineStr">
        <is>
          <t>Dark Red</t>
        </is>
      </c>
      <c r="E47" s="149" t="inlineStr">
        <is>
          <t> </t>
        </is>
      </c>
    </row>
    <row r="48" ht="20" customHeight="1">
      <c r="A48" s="140" t="inlineStr">
        <is>
          <t>graph_5</t>
        </is>
      </c>
      <c r="B48" s="141" t="inlineStr">
        <is>
          <t>#4A148C</t>
        </is>
      </c>
      <c r="C48" s="142" t="inlineStr">
        <is>
          <t>Series 5 — Fifth series (Deep Purple)</t>
        </is>
      </c>
      <c r="D48" s="142" t="inlineStr">
        <is>
          <t>Deep Purple</t>
        </is>
      </c>
      <c r="E48" s="170" t="inlineStr">
        <is>
          <t> </t>
        </is>
      </c>
    </row>
    <row r="49" ht="20" customHeight="1">
      <c r="A49" s="140" t="inlineStr">
        <is>
          <t>graph_6</t>
        </is>
      </c>
      <c r="B49" s="141" t="inlineStr">
        <is>
          <t>#880E4F</t>
        </is>
      </c>
      <c r="C49" s="142" t="inlineStr">
        <is>
          <t>Series 6 — Sixth series (Deep Pink)</t>
        </is>
      </c>
      <c r="D49" s="142" t="inlineStr">
        <is>
          <t>Deep Pink</t>
        </is>
      </c>
      <c r="E49" s="168" t="inlineStr">
        <is>
          <t> </t>
        </is>
      </c>
    </row>
    <row r="50" ht="20" customHeight="1">
      <c r="A50" s="140" t="inlineStr">
        <is>
          <t>graph_7</t>
        </is>
      </c>
      <c r="B50" s="141" t="inlineStr">
        <is>
          <t>#00695C</t>
        </is>
      </c>
      <c r="C50" s="142" t="inlineStr">
        <is>
          <t>Series 7 — Seventh series (Teal)</t>
        </is>
      </c>
      <c r="D50" s="142" t="inlineStr">
        <is>
          <t>Teal</t>
        </is>
      </c>
      <c r="E50" s="173" t="inlineStr">
        <is>
          <t> </t>
        </is>
      </c>
    </row>
    <row r="51" ht="20" customHeight="1">
      <c r="A51" s="140" t="inlineStr">
        <is>
          <t>graph_8</t>
        </is>
      </c>
      <c r="B51" s="141" t="inlineStr">
        <is>
          <t>#E65100</t>
        </is>
      </c>
      <c r="C51" s="142" t="inlineStr">
        <is>
          <t>Series 8 — Eighth series (Deep Orange)</t>
        </is>
      </c>
      <c r="D51" s="142" t="inlineStr">
        <is>
          <t>Deep Orange</t>
        </is>
      </c>
      <c r="E51" s="174" t="inlineStr">
        <is>
          <t> </t>
        </is>
      </c>
    </row>
    <row r="52" ht="20" customHeight="1">
      <c r="A52" s="140" t="inlineStr">
        <is>
          <t>graph_9</t>
        </is>
      </c>
      <c r="B52" s="141" t="inlineStr">
        <is>
          <t>#0277BD</t>
        </is>
      </c>
      <c r="C52" s="142" t="inlineStr">
        <is>
          <t>Series 9 — Ninth series (Light Blue)</t>
        </is>
      </c>
      <c r="D52" s="142" t="inlineStr">
        <is>
          <t>Light Blue</t>
        </is>
      </c>
      <c r="E52" s="175" t="inlineStr">
        <is>
          <t> </t>
        </is>
      </c>
    </row>
    <row r="53" ht="20" customHeight="1">
      <c r="A53" s="140" t="inlineStr">
        <is>
          <t>graph_10</t>
        </is>
      </c>
      <c r="B53" s="141" t="inlineStr">
        <is>
          <t>#558B2F</t>
        </is>
      </c>
      <c r="C53" s="142" t="inlineStr">
        <is>
          <t>Series 10 — Tenth series (Lime Green)</t>
        </is>
      </c>
      <c r="D53" s="142" t="inlineStr">
        <is>
          <t>Lime Green</t>
        </is>
      </c>
      <c r="E53" s="172" t="inlineStr">
        <is>
          <t> </t>
        </is>
      </c>
    </row>
    <row r="54" ht="20" customHeight="1">
      <c r="A54" s="140" t="inlineStr">
        <is>
          <t>graph_11</t>
        </is>
      </c>
      <c r="B54" s="141" t="inlineStr">
        <is>
          <t>#6A1B9A</t>
        </is>
      </c>
      <c r="C54" s="142" t="inlineStr">
        <is>
          <t>Series 11 — Eleventh series (Deep Purple 2)</t>
        </is>
      </c>
      <c r="D54" s="142" t="inlineStr">
        <is>
          <t>Violet</t>
        </is>
      </c>
      <c r="E54" s="176" t="inlineStr">
        <is>
          <t> </t>
        </is>
      </c>
    </row>
    <row r="55" ht="20" customHeight="1">
      <c r="A55" s="140" t="inlineStr">
        <is>
          <t>graph_12</t>
        </is>
      </c>
      <c r="B55" s="141" t="inlineStr">
        <is>
          <t>#F57F17</t>
        </is>
      </c>
      <c r="C55" s="142" t="inlineStr">
        <is>
          <t>Series 12 — Twelfth series (Amber Light)</t>
        </is>
      </c>
      <c r="D55" s="142" t="inlineStr">
        <is>
          <t>Amber Light</t>
        </is>
      </c>
      <c r="E55" s="177" t="inlineStr">
        <is>
          <t> </t>
        </is>
      </c>
    </row>
    <row r="58" ht="24" customHeight="1">
      <c r="A58" s="178" t="inlineStr">
        <is>
          <t>PLOTLY GRAPH — Categorical Color Swatch (12 colors in order)</t>
        </is>
      </c>
    </row>
    <row r="59" ht="28" customHeight="1">
      <c r="A59" s="179" t="inlineStr">
        <is>
          <t>Series 1: #185FA5</t>
        </is>
      </c>
      <c r="B59" s="180" t="inlineStr">
        <is>
          <t>Series 2: #3B6D11</t>
        </is>
      </c>
      <c r="C59" s="181" t="inlineStr">
        <is>
          <t>Series 3: #BA7517</t>
        </is>
      </c>
      <c r="D59" s="182" t="inlineStr">
        <is>
          <t>Series 4: #A32D2D</t>
        </is>
      </c>
      <c r="E59" s="183" t="inlineStr">
        <is>
          <t>Series 5: #4A148C</t>
        </is>
      </c>
      <c r="F59" s="184" t="inlineStr">
        <is>
          <t>Series 6: #880E4F</t>
        </is>
      </c>
    </row>
    <row r="60" ht="28" customHeight="1">
      <c r="A60" s="185" t="inlineStr">
        <is>
          <t>Series 7: #00695C</t>
        </is>
      </c>
      <c r="B60" s="186" t="inlineStr">
        <is>
          <t>Series 8: #E65100</t>
        </is>
      </c>
      <c r="C60" s="187" t="inlineStr">
        <is>
          <t>Series 9: #0277BD</t>
        </is>
      </c>
      <c r="D60" s="188" t="inlineStr">
        <is>
          <t>Series 10: #558B2F</t>
        </is>
      </c>
      <c r="E60" s="189" t="inlineStr">
        <is>
          <t>Series 11: #6A1B9A</t>
        </is>
      </c>
      <c r="F60" s="190" t="inlineStr">
        <is>
          <t>Series 12: #F57F17</t>
        </is>
      </c>
    </row>
  </sheetData>
  <mergeCells count="7">
    <mergeCell ref="A43:E43"/>
    <mergeCell ref="A25:E25"/>
    <mergeCell ref="A33:E33"/>
    <mergeCell ref="A1:E1"/>
    <mergeCell ref="A58:E58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2026-03-26T16:07:28Z</dcterms:created>
  <dcterms:modified xsi:type="dcterms:W3CDTF">2026-03-27T06:27:49Z</dcterms:modified>
</cp:coreProperties>
</file>