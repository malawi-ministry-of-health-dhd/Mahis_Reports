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263238"/>
        <bgColor rgb="00263238"/>
      </patternFill>
    </fill>
    <fill>
      <patternFill patternType="solid">
        <fgColor rgb="00EFEFEF"/>
        <bgColor rgb="00EFEFEF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 ht="18" customHeight="1">
      <c r="A2" s="2" t="inlineStr">
        <is>
          <t>LABOUR &amp; DELIVERY MNID Indicators — Coverage</t>
        </is>
      </c>
      <c r="B2" s="2" t="inlineStr">
        <is>
          <t>section</t>
        </is>
      </c>
      <c r="C2" s="2" t="inlineStr">
        <is>
          <t>Count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18" customHeight="1">
      <c r="A3" s="3" t="inlineStr">
        <is>
          <t>Quality intrapartum care per guidelines (composite)</t>
        </is>
      </c>
      <c r="B3" s="3" t="inlineStr">
        <is>
          <t>section</t>
        </is>
      </c>
      <c r="C3" s="3" t="inlineStr">
        <is>
          <t>Count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ht="18" customHeight="1">
      <c r="A4" s="2" t="inlineStr">
        <is>
          <t xml:space="preserve">  Numerator (count)</t>
        </is>
      </c>
      <c r="B4" s="2" t="inlineStr"/>
      <c r="C4" s="2" t="inlineStr">
        <is>
          <t>lab_quality_care_num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18" customHeight="1">
      <c r="A5" s="3" t="inlineStr">
        <is>
          <t xml:space="preserve">  Denominator (count)</t>
        </is>
      </c>
      <c r="B5" s="3" t="inlineStr"/>
      <c r="C5" s="3" t="inlineStr">
        <is>
          <t>lab_quality_care_den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18" customHeight="1">
      <c r="A6" s="2" t="inlineStr">
        <is>
          <t xml:space="preserve">  Quality intrapartum care per guidelines (composite) (%)</t>
        </is>
      </c>
      <c r="B6" s="2" t="inlineStr">
        <is>
          <t>pct</t>
        </is>
      </c>
      <c r="C6" s="2">
        <f>lab_quality_care_num/lab_quality_care_den*100</f>
        <v/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18" customHeight="1">
      <c r="A7" s="3" t="inlineStr">
        <is>
          <t>Digital intrapartum monitoring (partograph use)</t>
        </is>
      </c>
      <c r="B7" s="3" t="inlineStr">
        <is>
          <t>section</t>
        </is>
      </c>
      <c r="C7" s="3" t="inlineStr">
        <is>
          <t>Count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18" customHeight="1">
      <c r="A8" s="2" t="inlineStr">
        <is>
          <t xml:space="preserve">  Numerator (count)</t>
        </is>
      </c>
      <c r="B8" s="2" t="inlineStr"/>
      <c r="C8" s="2" t="inlineStr">
        <is>
          <t>lab_partograph_used_num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18" customHeight="1">
      <c r="A9" s="3" t="inlineStr">
        <is>
          <t xml:space="preserve">  Denominator (count)</t>
        </is>
      </c>
      <c r="B9" s="3" t="inlineStr"/>
      <c r="C9" s="3" t="inlineStr">
        <is>
          <t>lab_partograph_used_den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ht="18" customHeight="1">
      <c r="A10" s="2" t="inlineStr">
        <is>
          <t xml:space="preserve">  Digital intrapartum monitoring (partograph use) (%)</t>
        </is>
      </c>
      <c r="B10" s="2" t="inlineStr">
        <is>
          <t>pct</t>
        </is>
      </c>
      <c r="C10" s="2">
        <f>lab_partograph_used_num/lab_partograph_used_den*100</f>
        <v/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18" customHeight="1">
      <c r="A11" s="3" t="inlineStr">
        <is>
          <t>Antenatal corticosteroids given (pre-term labour)</t>
        </is>
      </c>
      <c r="B11" s="3" t="inlineStr">
        <is>
          <t>section</t>
        </is>
      </c>
      <c r="C11" s="3" t="inlineStr">
        <is>
          <t>Count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ht="18" customHeight="1">
      <c r="A12" s="2" t="inlineStr">
        <is>
          <t xml:space="preserve">  Numerator (count)</t>
        </is>
      </c>
      <c r="B12" s="2" t="inlineStr"/>
      <c r="C12" s="2" t="inlineStr">
        <is>
          <t>lab_corticosteroids_given_num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18" customHeight="1">
      <c r="A13" s="3" t="inlineStr">
        <is>
          <t xml:space="preserve">  Denominator (count)</t>
        </is>
      </c>
      <c r="B13" s="3" t="inlineStr"/>
      <c r="C13" s="3" t="inlineStr">
        <is>
          <t>lab_corticosteroids_given_den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ht="18" customHeight="1">
      <c r="A14" s="2" t="inlineStr">
        <is>
          <t xml:space="preserve">  Antenatal corticosteroids given (pre-term labour) (%)</t>
        </is>
      </c>
      <c r="B14" s="2" t="inlineStr">
        <is>
          <t>pct</t>
        </is>
      </c>
      <c r="C14" s="2">
        <f>lab_corticosteroids_given_num/lab_corticosteroids_given_den*100</f>
        <v/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18" customHeight="1">
      <c r="A15" s="3" t="inlineStr">
        <is>
          <t>[NOT TRACKABLE] Prophylactic azithromycin in labour</t>
        </is>
      </c>
      <c r="B15" s="3" t="inlineStr"/>
      <c r="C15" s="3" t="inlineStr">
        <is>
          <t>lab_azithromycin_num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ht="18" customHeight="1">
      <c r="A16" s="2" t="inlineStr">
        <is>
          <t>PPH early detection + E-MOTIVE bundle used</t>
        </is>
      </c>
      <c r="B16" s="2" t="inlineStr">
        <is>
          <t>section</t>
        </is>
      </c>
      <c r="C16" s="2" t="inlineStr">
        <is>
          <t>Count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18" customHeight="1">
      <c r="A17" s="3" t="inlineStr">
        <is>
          <t xml:space="preserve">  Numerator (count)</t>
        </is>
      </c>
      <c r="B17" s="3" t="inlineStr"/>
      <c r="C17" s="3" t="inlineStr">
        <is>
          <t>lab_emotive_bundle_num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ht="18" customHeight="1">
      <c r="A18" s="2" t="inlineStr">
        <is>
          <t xml:space="preserve">  Denominator (count)</t>
        </is>
      </c>
      <c r="B18" s="2" t="inlineStr"/>
      <c r="C18" s="2" t="inlineStr">
        <is>
          <t>lab_emotive_bundle_den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18" customHeight="1">
      <c r="A19" s="3" t="inlineStr">
        <is>
          <t xml:space="preserve">  PPH early detection + E-MOTIVE bundle used (%)</t>
        </is>
      </c>
      <c r="B19" s="3" t="inlineStr">
        <is>
          <t>pct</t>
        </is>
      </c>
      <c r="C19" s="3">
        <f>lab_emotive_bundle_num/lab_emotive_bundle_den*100</f>
        <v/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ht="18" customHeight="1">
      <c r="A20" s="2" t="inlineStr">
        <is>
          <t>Facility deliveries</t>
        </is>
      </c>
      <c r="B20" s="2" t="inlineStr">
        <is>
          <t>section</t>
        </is>
      </c>
      <c r="C20" s="2" t="inlineStr">
        <is>
          <t>Count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18" customHeight="1">
      <c r="A21" s="3" t="inlineStr">
        <is>
          <t xml:space="preserve">  Numerator (count)</t>
        </is>
      </c>
      <c r="B21" s="3" t="inlineStr"/>
      <c r="C21" s="3" t="inlineStr">
        <is>
          <t>lab_facility_delivery_num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ht="18" customHeight="1">
      <c r="A22" s="2" t="inlineStr">
        <is>
          <t xml:space="preserve">  Denominator (count)</t>
        </is>
      </c>
      <c r="B22" s="2" t="inlineStr"/>
      <c r="C22" s="2" t="inlineStr">
        <is>
          <t>lab_facility_delivery_den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18" customHeight="1">
      <c r="A23" s="3" t="inlineStr">
        <is>
          <t xml:space="preserve">  Facility deliveries (%)</t>
        </is>
      </c>
      <c r="B23" s="3" t="inlineStr">
        <is>
          <t>pct</t>
        </is>
      </c>
      <c r="C23" s="3">
        <f>lab_facility_delivery_num/lab_facility_delivery_den*100</f>
        <v/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ht="18" customHeight="1">
      <c r="A24" s="2" t="inlineStr">
        <is>
          <t>Skilled delivery attendance</t>
        </is>
      </c>
      <c r="B24" s="2" t="inlineStr">
        <is>
          <t>section</t>
        </is>
      </c>
      <c r="C24" s="2" t="inlineStr">
        <is>
          <t>Count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18" customHeight="1">
      <c r="A25" s="3" t="inlineStr">
        <is>
          <t xml:space="preserve">  Numerator (count)</t>
        </is>
      </c>
      <c r="B25" s="3" t="inlineStr"/>
      <c r="C25" s="3" t="inlineStr">
        <is>
          <t>lab_skilled_delivery_num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ht="18" customHeight="1">
      <c r="A26" s="2" t="inlineStr">
        <is>
          <t xml:space="preserve">  Denominator (count)</t>
        </is>
      </c>
      <c r="B26" s="2" t="inlineStr"/>
      <c r="C26" s="2" t="inlineStr">
        <is>
          <t>lab_skilled_delivery_den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18" customHeight="1">
      <c r="A27" s="3" t="inlineStr">
        <is>
          <t xml:space="preserve">  Skilled delivery attendance (%)</t>
        </is>
      </c>
      <c r="B27" s="3" t="inlineStr">
        <is>
          <t>pct</t>
        </is>
      </c>
      <c r="C27" s="3">
        <f>lab_skilled_delivery_num/lab_skilled_delivery_den*100</f>
        <v/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ht="18" customHeight="1">
      <c r="A28" s="2" t="inlineStr">
        <is>
          <t>Vaginal deliveries</t>
        </is>
      </c>
      <c r="B28" s="2" t="inlineStr">
        <is>
          <t>section</t>
        </is>
      </c>
      <c r="C28" s="2" t="inlineStr">
        <is>
          <t>Count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18" customHeight="1">
      <c r="A29" s="3" t="inlineStr">
        <is>
          <t xml:space="preserve">  Numerator (count)</t>
        </is>
      </c>
      <c r="B29" s="3" t="inlineStr"/>
      <c r="C29" s="3" t="inlineStr">
        <is>
          <t>lab_vaginal_delivery_num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ht="18" customHeight="1">
      <c r="A30" s="2" t="inlineStr">
        <is>
          <t xml:space="preserve">  Denominator (count)</t>
        </is>
      </c>
      <c r="B30" s="2" t="inlineStr"/>
      <c r="C30" s="2" t="inlineStr">
        <is>
          <t>lab_vaginal_delivery_den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18" customHeight="1">
      <c r="A31" s="3" t="inlineStr">
        <is>
          <t>Caesarean section rate</t>
        </is>
      </c>
      <c r="B31" s="3" t="inlineStr">
        <is>
          <t>section</t>
        </is>
      </c>
      <c r="C31" s="3" t="inlineStr">
        <is>
          <t>Count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 ht="18" customHeight="1">
      <c r="A32" s="2" t="inlineStr">
        <is>
          <t xml:space="preserve">  Numerator (count)</t>
        </is>
      </c>
      <c r="B32" s="2" t="inlineStr"/>
      <c r="C32" s="2" t="inlineStr">
        <is>
          <t>lab_csection_num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 ht="18" customHeight="1">
      <c r="A33" s="3" t="inlineStr">
        <is>
          <t xml:space="preserve">  Denominator (count)</t>
        </is>
      </c>
      <c r="B33" s="3" t="inlineStr"/>
      <c r="C33" s="3" t="inlineStr">
        <is>
          <t>lab_csection_den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ht="18" customHeight="1">
      <c r="A34" s="2" t="inlineStr">
        <is>
          <t xml:space="preserve">  Caesarean section rate (%)</t>
        </is>
      </c>
      <c r="B34" s="2" t="inlineStr">
        <is>
          <t>pct</t>
        </is>
      </c>
      <c r="C34" s="2">
        <f>lab_csection_num/lab_csection_den*100</f>
        <v/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18" customHeight="1">
      <c r="A35" s="3" t="inlineStr">
        <is>
          <t>PPH (Post-Partum Haemorrhage)</t>
        </is>
      </c>
      <c r="B35" s="3" t="inlineStr">
        <is>
          <t>section</t>
        </is>
      </c>
      <c r="C35" s="3" t="inlineStr">
        <is>
          <t>Count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ht="18" customHeight="1">
      <c r="A36" s="2" t="inlineStr">
        <is>
          <t xml:space="preserve">  Numerator (count)</t>
        </is>
      </c>
      <c r="B36" s="2" t="inlineStr"/>
      <c r="C36" s="2" t="inlineStr">
        <is>
          <t>lab_comp_pph_num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 ht="18" customHeight="1">
      <c r="A37" s="3" t="inlineStr">
        <is>
          <t xml:space="preserve">  Denominator (count)</t>
        </is>
      </c>
      <c r="B37" s="3" t="inlineStr"/>
      <c r="C37" s="3" t="inlineStr">
        <is>
          <t>lab_comp_pph_den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ht="18" customHeight="1">
      <c r="A38" s="2" t="inlineStr">
        <is>
          <t>Pre-eclampsia / Eclampsia</t>
        </is>
      </c>
      <c r="B38" s="2" t="inlineStr">
        <is>
          <t>section</t>
        </is>
      </c>
      <c r="C38" s="2" t="inlineStr">
        <is>
          <t>Count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 ht="18" customHeight="1">
      <c r="A39" s="3" t="inlineStr">
        <is>
          <t xml:space="preserve">  Numerator (count)</t>
        </is>
      </c>
      <c r="B39" s="3" t="inlineStr"/>
      <c r="C39" s="3" t="inlineStr">
        <is>
          <t>lab_comp_eclampsia_num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ht="18" customHeight="1">
      <c r="A40" s="2" t="inlineStr">
        <is>
          <t xml:space="preserve">  Denominator (count)</t>
        </is>
      </c>
      <c r="B40" s="2" t="inlineStr"/>
      <c r="C40" s="2" t="inlineStr">
        <is>
          <t>lab_comp_eclampsia_den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 ht="18" customHeight="1">
      <c r="A41" s="3" t="inlineStr">
        <is>
          <t>Sepsis / Serious infection</t>
        </is>
      </c>
      <c r="B41" s="3" t="inlineStr">
        <is>
          <t>section</t>
        </is>
      </c>
      <c r="C41" s="3" t="inlineStr">
        <is>
          <t>Count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 ht="18" customHeight="1">
      <c r="A42" s="2" t="inlineStr">
        <is>
          <t xml:space="preserve">  Numerator (count)</t>
        </is>
      </c>
      <c r="B42" s="2" t="inlineStr"/>
      <c r="C42" s="2" t="inlineStr">
        <is>
          <t>lab_comp_sepsis_num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 ht="18" customHeight="1">
      <c r="A43" s="3" t="inlineStr">
        <is>
          <t xml:space="preserve">  Denominator (count)</t>
        </is>
      </c>
      <c r="B43" s="3" t="inlineStr"/>
      <c r="C43" s="3" t="inlineStr">
        <is>
          <t>lab_comp_sepsis_den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ht="18" customHeight="1">
      <c r="A44" s="2" t="inlineStr">
        <is>
          <t>Obstructed / Prolonged labour</t>
        </is>
      </c>
      <c r="B44" s="2" t="inlineStr">
        <is>
          <t>section</t>
        </is>
      </c>
      <c r="C44" s="2" t="inlineStr">
        <is>
          <t>Count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 ht="18" customHeight="1">
      <c r="A45" s="3" t="inlineStr">
        <is>
          <t xml:space="preserve">  Numerator (count)</t>
        </is>
      </c>
      <c r="B45" s="3" t="inlineStr"/>
      <c r="C45" s="3" t="inlineStr">
        <is>
          <t>lab_comp_obstructed_num</t>
        </is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ht="18" customHeight="1">
      <c r="A46" s="2" t="inlineStr">
        <is>
          <t xml:space="preserve">  Denominator (count)</t>
        </is>
      </c>
      <c r="B46" s="2" t="inlineStr"/>
      <c r="C46" s="2" t="inlineStr">
        <is>
          <t>lab_comp_obstructed_den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 ht="18" customHeight="1">
      <c r="A47" s="3" t="inlineStr">
        <is>
          <t>Oxytocin 10 IU given (active management 3rd stage)</t>
        </is>
      </c>
      <c r="B47" s="3" t="inlineStr">
        <is>
          <t>section</t>
        </is>
      </c>
      <c r="C47" s="3" t="inlineStr">
        <is>
          <t>Count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 ht="18" customHeight="1">
      <c r="A48" s="2" t="inlineStr">
        <is>
          <t xml:space="preserve">  Numerator (count)</t>
        </is>
      </c>
      <c r="B48" s="2" t="inlineStr"/>
      <c r="C48" s="2" t="inlineStr">
        <is>
          <t>lab_oxytocin_given_num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 ht="18" customHeight="1">
      <c r="A49" s="3" t="inlineStr">
        <is>
          <t xml:space="preserve">  Denominator (count)</t>
        </is>
      </c>
      <c r="B49" s="3" t="inlineStr"/>
      <c r="C49" s="3" t="inlineStr">
        <is>
          <t>lab_oxytocin_given_den</t>
        </is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 ht="18" customHeight="1">
      <c r="A50" s="2" t="inlineStr">
        <is>
          <t xml:space="preserve">  Oxytocin 10 IU given (active management 3rd stage) (%)</t>
        </is>
      </c>
      <c r="B50" s="2" t="inlineStr">
        <is>
          <t>pct</t>
        </is>
      </c>
      <c r="C50" s="2">
        <f>lab_oxytocin_given_num/lab_oxytocin_given_den*100</f>
        <v/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 ht="18" customHeight="1">
      <c r="A51" s="3" t="inlineStr">
        <is>
          <t>Magnesium Sulphate given (eclampsia)</t>
        </is>
      </c>
      <c r="B51" s="3" t="inlineStr">
        <is>
          <t>section</t>
        </is>
      </c>
      <c r="C51" s="3" t="inlineStr">
        <is>
          <t>Count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 ht="18" customHeight="1">
      <c r="A52" s="2" t="inlineStr">
        <is>
          <t xml:space="preserve">  Numerator (count)</t>
        </is>
      </c>
      <c r="B52" s="2" t="inlineStr"/>
      <c r="C52" s="2" t="inlineStr">
        <is>
          <t>lab_mgso4_given_num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 ht="18" customHeight="1">
      <c r="A53" s="3" t="inlineStr">
        <is>
          <t xml:space="preserve">  Denominator (count)</t>
        </is>
      </c>
      <c r="B53" s="3" t="inlineStr"/>
      <c r="C53" s="3" t="inlineStr">
        <is>
          <t>lab_mgso4_given_den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 ht="18" customHeight="1">
      <c r="A54" s="2" t="inlineStr">
        <is>
          <t xml:space="preserve">  Magnesium Sulphate given (eclampsia) (%)</t>
        </is>
      </c>
      <c r="B54" s="2" t="inlineStr">
        <is>
          <t>pct</t>
        </is>
      </c>
      <c r="C54" s="2">
        <f>lab_mgso4_given_num/lab_mgso4_given_den*100</f>
        <v/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24" customWidth="1" min="5" max="5"/>
    <col width="12" customWidth="1" min="6" max="6"/>
    <col width="26" customWidth="1" min="7" max="7"/>
    <col width="14" customWidth="1" min="8" max="8"/>
    <col width="36" customWidth="1" min="9" max="9"/>
    <col width="8" customWidth="1" min="10" max="10"/>
    <col width="36" customWidth="1" min="11" max="11"/>
    <col width="8" customWidth="1" min="12" max="12"/>
    <col width="36" customWidth="1" min="13" max="13"/>
    <col width="8" customWidth="1" min="14" max="14"/>
    <col width="36" customWidth="1" min="15" max="15"/>
    <col width="8" customWidth="1" min="16" max="16"/>
    <col width="36" customWidth="1" min="17" max="17"/>
    <col width="8" customWidth="1" min="18" max="18"/>
    <col width="36" customWidth="1" min="19" max="19"/>
    <col width="8" customWidth="1" min="20" max="20"/>
    <col width="36" customWidth="1" min="21" max="21"/>
    <col width="8" customWidth="1" min="22" max="22"/>
    <col width="36" customWidth="1" min="23" max="23"/>
  </cols>
  <sheetData>
    <row r="1" ht="30" customHeight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</row>
    <row r="2" ht="18" customHeight="1">
      <c r="A2" s="2" t="inlineStr">
        <is>
          <t>lab_quality_care_num</t>
        </is>
      </c>
      <c r="B2" s="2" t="inlineStr">
        <is>
          <t>count</t>
        </is>
      </c>
      <c r="C2" s="2" t="inlineStr">
        <is>
          <t>person_id</t>
        </is>
      </c>
      <c r="D2" s="2" t="inlineStr">
        <is>
          <t>Program</t>
        </is>
      </c>
      <c r="E2" s="2" t="inlineStr">
        <is>
          <t>LABOUR AND DELIVERY PROGRAM</t>
        </is>
      </c>
      <c r="F2" s="2" t="inlineStr">
        <is>
          <t>Encounter</t>
        </is>
      </c>
      <c r="G2" s="2" t="inlineStr">
        <is>
          <t>LABOUR AND DELIVERY VISIT</t>
        </is>
      </c>
      <c r="H2" s="2" t="inlineStr">
        <is>
          <t>concept_name</t>
        </is>
      </c>
      <c r="I2" s="2" t="inlineStr">
        <is>
          <t>Obstetric complications + Obstetric care provided (matched)</t>
        </is>
      </c>
      <c r="J2" s="2" t="inlineStr">
        <is>
          <t>Value</t>
        </is>
      </c>
      <c r="K2" s="2" t="inlineStr">
        <is>
          <t>correct care for each complication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 ht="18" customHeight="1">
      <c r="A3" s="3" t="inlineStr">
        <is>
          <t>lab_quality_care_den</t>
        </is>
      </c>
      <c r="B3" s="3" t="inlineStr">
        <is>
          <t>count</t>
        </is>
      </c>
      <c r="C3" s="3" t="inlineStr">
        <is>
          <t>person_id</t>
        </is>
      </c>
      <c r="D3" s="3" t="inlineStr">
        <is>
          <t>Program</t>
        </is>
      </c>
      <c r="E3" s="3" t="inlineStr">
        <is>
          <t>LABOUR AND DELIVERY PROGRAM</t>
        </is>
      </c>
      <c r="F3" s="3" t="inlineStr">
        <is>
          <t>Encounter</t>
        </is>
      </c>
      <c r="G3" s="3" t="inlineStr">
        <is>
          <t>LABOUR AND DELIVERY VISIT</t>
        </is>
      </c>
      <c r="H3" s="3" t="inlineStr">
        <is>
          <t>concept_name</t>
        </is>
      </c>
      <c r="I3" s="3" t="inlineStr">
        <is>
          <t>Obstetric complications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18" customHeight="1">
      <c r="A4" s="2" t="inlineStr">
        <is>
          <t>lab_partograph_used_num</t>
        </is>
      </c>
      <c r="B4" s="2" t="inlineStr">
        <is>
          <t>count</t>
        </is>
      </c>
      <c r="C4" s="2" t="inlineStr">
        <is>
          <t>person_id</t>
        </is>
      </c>
      <c r="D4" s="2" t="inlineStr">
        <is>
          <t>Program</t>
        </is>
      </c>
      <c r="E4" s="2" t="inlineStr">
        <is>
          <t>LABOUR AND DELIVERY PROGRAM</t>
        </is>
      </c>
      <c r="F4" s="2" t="inlineStr">
        <is>
          <t>Encounter</t>
        </is>
      </c>
      <c r="G4" s="2" t="inlineStr">
        <is>
          <t>SUMMARY OF LABOUR</t>
        </is>
      </c>
      <c r="H4" s="2" t="inlineStr">
        <is>
          <t>concept_name</t>
        </is>
      </c>
      <c r="I4" s="2" t="inlineStr">
        <is>
          <t>Was a partograph used</t>
        </is>
      </c>
      <c r="J4" s="2" t="inlineStr">
        <is>
          <t>Value</t>
        </is>
      </c>
      <c r="K4" s="2" t="inlineStr">
        <is>
          <t>Yes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 ht="18" customHeight="1">
      <c r="A5" s="3" t="inlineStr">
        <is>
          <t>lab_partograph_used_den</t>
        </is>
      </c>
      <c r="B5" s="3" t="inlineStr">
        <is>
          <t>count</t>
        </is>
      </c>
      <c r="C5" s="3" t="inlineStr">
        <is>
          <t>person_id</t>
        </is>
      </c>
      <c r="D5" s="3" t="inlineStr">
        <is>
          <t>Program</t>
        </is>
      </c>
      <c r="E5" s="3" t="inlineStr">
        <is>
          <t>LABOUR AND DELIVERY PROGRAM</t>
        </is>
      </c>
      <c r="F5" s="3" t="inlineStr">
        <is>
          <t>Encounter</t>
        </is>
      </c>
      <c r="G5" s="3" t="inlineStr">
        <is>
          <t>SUMMARY OF LABOUR</t>
        </is>
      </c>
      <c r="H5" s="3" t="inlineStr">
        <is>
          <t>concept_name</t>
        </is>
      </c>
      <c r="I5" s="3" t="inlineStr">
        <is>
          <t>Was a partograph used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18" customHeight="1">
      <c r="A6" s="2" t="inlineStr">
        <is>
          <t>lab_corticosteroids_given_num</t>
        </is>
      </c>
      <c r="B6" s="2" t="inlineStr">
        <is>
          <t>count</t>
        </is>
      </c>
      <c r="C6" s="2" t="inlineStr">
        <is>
          <t>person_id</t>
        </is>
      </c>
      <c r="D6" s="2" t="inlineStr">
        <is>
          <t>Program</t>
        </is>
      </c>
      <c r="E6" s="2" t="inlineStr">
        <is>
          <t>LABOUR AND DELIVERY PROGRAM</t>
        </is>
      </c>
      <c r="F6" s="2" t="inlineStr">
        <is>
          <t>Encounter</t>
        </is>
      </c>
      <c r="G6" s="2" t="inlineStr">
        <is>
          <t>LABOUR ASSESSMENT</t>
        </is>
      </c>
      <c r="H6" s="2" t="inlineStr">
        <is>
          <t>concept_name</t>
        </is>
      </c>
      <c r="I6" s="2" t="inlineStr">
        <is>
          <t>Corticosteroids given</t>
        </is>
      </c>
      <c r="J6" s="2" t="inlineStr">
        <is>
          <t>Value</t>
        </is>
      </c>
      <c r="K6" s="2" t="inlineStr">
        <is>
          <t>yes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 ht="18" customHeight="1">
      <c r="A7" s="3" t="inlineStr">
        <is>
          <t>lab_corticosteroids_given_den</t>
        </is>
      </c>
      <c r="B7" s="3" t="inlineStr">
        <is>
          <t>count</t>
        </is>
      </c>
      <c r="C7" s="3" t="inlineStr">
        <is>
          <t>person_id</t>
        </is>
      </c>
      <c r="D7" s="3" t="inlineStr">
        <is>
          <t>Program</t>
        </is>
      </c>
      <c r="E7" s="3" t="inlineStr">
        <is>
          <t>LABOUR AND DELIVERY PROGRAM</t>
        </is>
      </c>
      <c r="F7" s="3" t="inlineStr">
        <is>
          <t>Encounter</t>
        </is>
      </c>
      <c r="G7" s="3" t="inlineStr">
        <is>
          <t>LABOUR ASSESSMENT</t>
        </is>
      </c>
      <c r="H7" s="3" t="inlineStr">
        <is>
          <t>concept_name</t>
        </is>
      </c>
      <c r="I7" s="3" t="inlineStr">
        <is>
          <t>Corticosteroids given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 ht="18" customHeight="1">
      <c r="A8" s="2" t="inlineStr">
        <is>
          <t>lab_emotive_bundle_num</t>
        </is>
      </c>
      <c r="B8" s="2" t="inlineStr">
        <is>
          <t>count</t>
        </is>
      </c>
      <c r="C8" s="2" t="inlineStr">
        <is>
          <t>person_id</t>
        </is>
      </c>
      <c r="D8" s="2" t="inlineStr">
        <is>
          <t>Program</t>
        </is>
      </c>
      <c r="E8" s="2" t="inlineStr">
        <is>
          <t>LABOUR AND DELIVERY PROGRAM</t>
        </is>
      </c>
      <c r="F8" s="2" t="inlineStr">
        <is>
          <t>Encounter</t>
        </is>
      </c>
      <c r="G8" s="2" t="inlineStr">
        <is>
          <t>LABOUR AND DELIVERY VISIT</t>
        </is>
      </c>
      <c r="H8" s="2" t="inlineStr">
        <is>
          <t>concept_name</t>
        </is>
      </c>
      <c r="I8" s="2" t="inlineStr">
        <is>
          <t>Was E-MOTIVE bundle used</t>
        </is>
      </c>
      <c r="J8" s="2" t="inlineStr">
        <is>
          <t>Value</t>
        </is>
      </c>
      <c r="K8" s="2" t="inlineStr">
        <is>
          <t>Yes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 ht="18" customHeight="1">
      <c r="A9" s="3" t="inlineStr">
        <is>
          <t>lab_emotive_bundle_den</t>
        </is>
      </c>
      <c r="B9" s="3" t="inlineStr">
        <is>
          <t>count</t>
        </is>
      </c>
      <c r="C9" s="3" t="inlineStr">
        <is>
          <t>person_id</t>
        </is>
      </c>
      <c r="D9" s="3" t="inlineStr">
        <is>
          <t>Program</t>
        </is>
      </c>
      <c r="E9" s="3" t="inlineStr">
        <is>
          <t>LABOUR AND DELIVERY PROGRAM</t>
        </is>
      </c>
      <c r="F9" s="3" t="inlineStr">
        <is>
          <t>Encounter</t>
        </is>
      </c>
      <c r="G9" s="3" t="inlineStr">
        <is>
          <t>LABOUR AND DELIVERY VISIT</t>
        </is>
      </c>
      <c r="H9" s="3" t="inlineStr">
        <is>
          <t>concept_name</t>
        </is>
      </c>
      <c r="I9" s="3" t="inlineStr">
        <is>
          <t>Was E-MOTIVE bundle used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 ht="18" customHeight="1">
      <c r="A10" s="2" t="inlineStr">
        <is>
          <t>lab_facility_delivery_num</t>
        </is>
      </c>
      <c r="B10" s="2" t="inlineStr">
        <is>
          <t>count</t>
        </is>
      </c>
      <c r="C10" s="2" t="inlineStr">
        <is>
          <t>person_id</t>
        </is>
      </c>
      <c r="D10" s="2" t="inlineStr">
        <is>
          <t>Program</t>
        </is>
      </c>
      <c r="E10" s="2" t="inlineStr">
        <is>
          <t>LABOUR AND DELIVERY PROGRAM</t>
        </is>
      </c>
      <c r="F10" s="2" t="inlineStr">
        <is>
          <t>Encounter</t>
        </is>
      </c>
      <c r="G10" s="2" t="inlineStr">
        <is>
          <t>LABOUR AND DELIVERY VISIT</t>
        </is>
      </c>
      <c r="H10" s="2" t="inlineStr">
        <is>
          <t>concept_name</t>
        </is>
      </c>
      <c r="I10" s="2" t="inlineStr">
        <is>
          <t>Place of delivery</t>
        </is>
      </c>
      <c r="J10" s="2" t="inlineStr">
        <is>
          <t>Value</t>
        </is>
      </c>
      <c r="K10" s="2" t="inlineStr">
        <is>
          <t>This facility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 ht="18" customHeight="1">
      <c r="A11" s="3" t="inlineStr">
        <is>
          <t>lab_facility_delivery_den</t>
        </is>
      </c>
      <c r="B11" s="3" t="inlineStr">
        <is>
          <t>count</t>
        </is>
      </c>
      <c r="C11" s="3" t="inlineStr">
        <is>
          <t>person_id</t>
        </is>
      </c>
      <c r="D11" s="3" t="inlineStr">
        <is>
          <t>Program</t>
        </is>
      </c>
      <c r="E11" s="3" t="inlineStr">
        <is>
          <t>LABOUR AND DELIVERY PROGRAM</t>
        </is>
      </c>
      <c r="F11" s="3" t="inlineStr">
        <is>
          <t>Encounter</t>
        </is>
      </c>
      <c r="G11" s="3" t="inlineStr">
        <is>
          <t>LABOUR AND DELIVERY VISIT</t>
        </is>
      </c>
      <c r="H11" s="3" t="inlineStr">
        <is>
          <t>concept_name</t>
        </is>
      </c>
      <c r="I11" s="3" t="inlineStr">
        <is>
          <t>Place of delivery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 ht="18" customHeight="1">
      <c r="A12" s="2" t="inlineStr">
        <is>
          <t>lab_skilled_delivery_num</t>
        </is>
      </c>
      <c r="B12" s="2" t="inlineStr">
        <is>
          <t>count</t>
        </is>
      </c>
      <c r="C12" s="2" t="inlineStr">
        <is>
          <t>person_id</t>
        </is>
      </c>
      <c r="D12" s="2" t="inlineStr">
        <is>
          <t>Program</t>
        </is>
      </c>
      <c r="E12" s="2" t="inlineStr">
        <is>
          <t>LABOUR AND DELIVERY PROGRAM</t>
        </is>
      </c>
      <c r="F12" s="2" t="inlineStr">
        <is>
          <t>Encounter</t>
        </is>
      </c>
      <c r="G12" s="2" t="inlineStr">
        <is>
          <t>LABOUR AND DELIVERY VISIT</t>
        </is>
      </c>
      <c r="H12" s="2" t="inlineStr">
        <is>
          <t>concept_name</t>
        </is>
      </c>
      <c r="I12" s="2" t="inlineStr">
        <is>
          <t>Staff conducting delivery</t>
        </is>
      </c>
      <c r="J12" s="2" t="inlineStr">
        <is>
          <t>Value</t>
        </is>
      </c>
      <c r="K12" s="2" t="inlineStr">
        <is>
          <t>IS NOT NULL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 ht="18" customHeight="1">
      <c r="A13" s="3" t="inlineStr">
        <is>
          <t>lab_skilled_delivery_den</t>
        </is>
      </c>
      <c r="B13" s="3" t="inlineStr">
        <is>
          <t>count</t>
        </is>
      </c>
      <c r="C13" s="3" t="inlineStr">
        <is>
          <t>person_id</t>
        </is>
      </c>
      <c r="D13" s="3" t="inlineStr">
        <is>
          <t>Program</t>
        </is>
      </c>
      <c r="E13" s="3" t="inlineStr">
        <is>
          <t>LABOUR AND DELIVERY PROGRAM</t>
        </is>
      </c>
      <c r="F13" s="3" t="inlineStr">
        <is>
          <t>Encounter</t>
        </is>
      </c>
      <c r="G13" s="3" t="inlineStr">
        <is>
          <t>LABOUR AND DELIVERY VISIT</t>
        </is>
      </c>
      <c r="H13" s="3" t="inlineStr">
        <is>
          <t>concept_name</t>
        </is>
      </c>
      <c r="I13" s="3" t="inlineStr">
        <is>
          <t>Mode of delivery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 ht="18" customHeight="1">
      <c r="A14" s="2" t="inlineStr">
        <is>
          <t>lab_vaginal_delivery_num</t>
        </is>
      </c>
      <c r="B14" s="2" t="inlineStr">
        <is>
          <t>count</t>
        </is>
      </c>
      <c r="C14" s="2" t="inlineStr">
        <is>
          <t>person_id</t>
        </is>
      </c>
      <c r="D14" s="2" t="inlineStr">
        <is>
          <t>Program</t>
        </is>
      </c>
      <c r="E14" s="2" t="inlineStr">
        <is>
          <t>LABOUR AND DELIVERY PROGRAM</t>
        </is>
      </c>
      <c r="F14" s="2" t="inlineStr">
        <is>
          <t>Encounter</t>
        </is>
      </c>
      <c r="G14" s="2" t="inlineStr">
        <is>
          <t>LABOUR AND DELIVERY VISIT</t>
        </is>
      </c>
      <c r="H14" s="2" t="inlineStr">
        <is>
          <t>concept_name</t>
        </is>
      </c>
      <c r="I14" s="2" t="inlineStr">
        <is>
          <t>Mode of delivery</t>
        </is>
      </c>
      <c r="J14" s="2" t="inlineStr">
        <is>
          <t>Value</t>
        </is>
      </c>
      <c r="K14" s="2" t="inlineStr">
        <is>
          <t>Vaginal delivery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 ht="18" customHeight="1">
      <c r="A15" s="3" t="inlineStr">
        <is>
          <t>lab_vaginal_delivery_den</t>
        </is>
      </c>
      <c r="B15" s="3" t="inlineStr">
        <is>
          <t>count</t>
        </is>
      </c>
      <c r="C15" s="3" t="inlineStr">
        <is>
          <t>person_id</t>
        </is>
      </c>
      <c r="D15" s="3" t="inlineStr">
        <is>
          <t>Program</t>
        </is>
      </c>
      <c r="E15" s="3" t="inlineStr">
        <is>
          <t>LABOUR AND DELIVERY PROGRAM</t>
        </is>
      </c>
      <c r="F15" s="3" t="inlineStr">
        <is>
          <t>Encounter</t>
        </is>
      </c>
      <c r="G15" s="3" t="inlineStr">
        <is>
          <t>LABOUR AND DELIVERY VISIT</t>
        </is>
      </c>
      <c r="H15" s="3" t="inlineStr">
        <is>
          <t>concept_name</t>
        </is>
      </c>
      <c r="I15" s="3" t="inlineStr">
        <is>
          <t>Mode of delivery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 ht="18" customHeight="1">
      <c r="A16" s="2" t="inlineStr">
        <is>
          <t>lab_csection_num</t>
        </is>
      </c>
      <c r="B16" s="2" t="inlineStr">
        <is>
          <t>count</t>
        </is>
      </c>
      <c r="C16" s="2" t="inlineStr">
        <is>
          <t>person_id</t>
        </is>
      </c>
      <c r="D16" s="2" t="inlineStr">
        <is>
          <t>Program</t>
        </is>
      </c>
      <c r="E16" s="2" t="inlineStr">
        <is>
          <t>LABOUR AND DELIVERY PROGRAM</t>
        </is>
      </c>
      <c r="F16" s="2" t="inlineStr">
        <is>
          <t>Encounter</t>
        </is>
      </c>
      <c r="G16" s="2" t="inlineStr">
        <is>
          <t>LABOUR AND DELIVERY VISIT</t>
        </is>
      </c>
      <c r="H16" s="2" t="inlineStr">
        <is>
          <t>concept_name</t>
        </is>
      </c>
      <c r="I16" s="2" t="inlineStr">
        <is>
          <t>Mode of delivery</t>
        </is>
      </c>
      <c r="J16" s="2" t="inlineStr">
        <is>
          <t>Value</t>
        </is>
      </c>
      <c r="K16" s="2" t="inlineStr">
        <is>
          <t>Caesarean section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 ht="18" customHeight="1">
      <c r="A17" s="3" t="inlineStr">
        <is>
          <t>lab_csection_den</t>
        </is>
      </c>
      <c r="B17" s="3" t="inlineStr">
        <is>
          <t>count</t>
        </is>
      </c>
      <c r="C17" s="3" t="inlineStr">
        <is>
          <t>person_id</t>
        </is>
      </c>
      <c r="D17" s="3" t="inlineStr">
        <is>
          <t>Program</t>
        </is>
      </c>
      <c r="E17" s="3" t="inlineStr">
        <is>
          <t>LABOUR AND DELIVERY PROGRAM</t>
        </is>
      </c>
      <c r="F17" s="3" t="inlineStr">
        <is>
          <t>Encounter</t>
        </is>
      </c>
      <c r="G17" s="3" t="inlineStr">
        <is>
          <t>LABOUR AND DELIVERY VISIT</t>
        </is>
      </c>
      <c r="H17" s="3" t="inlineStr">
        <is>
          <t>concept_name</t>
        </is>
      </c>
      <c r="I17" s="3" t="inlineStr">
        <is>
          <t>Mode of delivery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 ht="18" customHeight="1">
      <c r="A18" s="2" t="inlineStr">
        <is>
          <t>lab_comp_pph_num</t>
        </is>
      </c>
      <c r="B18" s="2" t="inlineStr">
        <is>
          <t>count</t>
        </is>
      </c>
      <c r="C18" s="2" t="inlineStr">
        <is>
          <t>person_id</t>
        </is>
      </c>
      <c r="D18" s="2" t="inlineStr">
        <is>
          <t>Program</t>
        </is>
      </c>
      <c r="E18" s="2" t="inlineStr">
        <is>
          <t>LABOUR AND DELIVERY PROGRAM</t>
        </is>
      </c>
      <c r="F18" s="2" t="inlineStr">
        <is>
          <t>Encounter</t>
        </is>
      </c>
      <c r="G18" s="2" t="inlineStr">
        <is>
          <t>LABOUR AND DELIVERY VISIT</t>
        </is>
      </c>
      <c r="H18" s="2" t="inlineStr">
        <is>
          <t>concept_name</t>
        </is>
      </c>
      <c r="I18" s="2" t="inlineStr">
        <is>
          <t>Obstetric complications</t>
        </is>
      </c>
      <c r="J18" s="2" t="inlineStr">
        <is>
          <t>Value</t>
        </is>
      </c>
      <c r="K18" s="2" t="inlineStr">
        <is>
          <t>post partum Haemorrhage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 ht="18" customHeight="1">
      <c r="A19" s="3" t="inlineStr">
        <is>
          <t>lab_comp_pph_den</t>
        </is>
      </c>
      <c r="B19" s="3" t="inlineStr">
        <is>
          <t>count</t>
        </is>
      </c>
      <c r="C19" s="3" t="inlineStr">
        <is>
          <t>person_id</t>
        </is>
      </c>
      <c r="D19" s="3" t="inlineStr">
        <is>
          <t>Program</t>
        </is>
      </c>
      <c r="E19" s="3" t="inlineStr">
        <is>
          <t>LABOUR AND DELIVERY PROGRAM</t>
        </is>
      </c>
      <c r="F19" s="3" t="inlineStr">
        <is>
          <t>Encounter</t>
        </is>
      </c>
      <c r="G19" s="3" t="inlineStr">
        <is>
          <t>LABOUR AND DELIVERY VISIT</t>
        </is>
      </c>
      <c r="H19" s="3" t="inlineStr">
        <is>
          <t>concept_name</t>
        </is>
      </c>
      <c r="I19" s="3" t="inlineStr">
        <is>
          <t>Obstetric complications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 ht="18" customHeight="1">
      <c r="A20" s="2" t="inlineStr">
        <is>
          <t>lab_comp_eclampsia_num</t>
        </is>
      </c>
      <c r="B20" s="2" t="inlineStr">
        <is>
          <t>count</t>
        </is>
      </c>
      <c r="C20" s="2" t="inlineStr">
        <is>
          <t>person_id</t>
        </is>
      </c>
      <c r="D20" s="2" t="inlineStr">
        <is>
          <t>Program</t>
        </is>
      </c>
      <c r="E20" s="2" t="inlineStr">
        <is>
          <t>LABOUR AND DELIVERY PROGRAM</t>
        </is>
      </c>
      <c r="F20" s="2" t="inlineStr">
        <is>
          <t>Encounter</t>
        </is>
      </c>
      <c r="G20" s="2" t="inlineStr">
        <is>
          <t>LABOUR AND DELIVERY VISIT</t>
        </is>
      </c>
      <c r="H20" s="2" t="inlineStr">
        <is>
          <t>concept_name</t>
        </is>
      </c>
      <c r="I20" s="2" t="inlineStr">
        <is>
          <t>Obstetric complications</t>
        </is>
      </c>
      <c r="J20" s="2" t="inlineStr">
        <is>
          <t>Value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 ht="18" customHeight="1">
      <c r="A21" s="3" t="inlineStr">
        <is>
          <t>lab_comp_eclampsia_den</t>
        </is>
      </c>
      <c r="B21" s="3" t="inlineStr">
        <is>
          <t>count</t>
        </is>
      </c>
      <c r="C21" s="3" t="inlineStr">
        <is>
          <t>person_id</t>
        </is>
      </c>
      <c r="D21" s="3" t="inlineStr">
        <is>
          <t>Program</t>
        </is>
      </c>
      <c r="E21" s="3" t="inlineStr">
        <is>
          <t>LABOUR AND DELIVERY PROGRAM</t>
        </is>
      </c>
      <c r="F21" s="3" t="inlineStr">
        <is>
          <t>Encounter</t>
        </is>
      </c>
      <c r="G21" s="3" t="inlineStr">
        <is>
          <t>LABOUR AND DELIVERY VISIT</t>
        </is>
      </c>
      <c r="H21" s="3" t="inlineStr">
        <is>
          <t>concept_name</t>
        </is>
      </c>
      <c r="I21" s="3" t="inlineStr">
        <is>
          <t>Obstetric complications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 ht="18" customHeight="1">
      <c r="A22" s="2" t="inlineStr">
        <is>
          <t>lab_comp_sepsis_num</t>
        </is>
      </c>
      <c r="B22" s="2" t="inlineStr">
        <is>
          <t>count</t>
        </is>
      </c>
      <c r="C22" s="2" t="inlineStr">
        <is>
          <t>person_id</t>
        </is>
      </c>
      <c r="D22" s="2" t="inlineStr">
        <is>
          <t>Program</t>
        </is>
      </c>
      <c r="E22" s="2" t="inlineStr">
        <is>
          <t>LABOUR AND DELIVERY PROGRAM</t>
        </is>
      </c>
      <c r="F22" s="2" t="inlineStr">
        <is>
          <t>Encounter</t>
        </is>
      </c>
      <c r="G22" s="2" t="inlineStr">
        <is>
          <t>LABOUR AND DELIVERY VISIT</t>
        </is>
      </c>
      <c r="H22" s="2" t="inlineStr">
        <is>
          <t>concept_name</t>
        </is>
      </c>
      <c r="I22" s="2" t="inlineStr">
        <is>
          <t>Obstetric complications</t>
        </is>
      </c>
      <c r="J22" s="2" t="inlineStr">
        <is>
          <t>Value</t>
        </is>
      </c>
      <c r="K22" s="2" t="inlineStr">
        <is>
          <t>sepsis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 ht="18" customHeight="1">
      <c r="A23" s="3" t="inlineStr">
        <is>
          <t>lab_comp_sepsis_den</t>
        </is>
      </c>
      <c r="B23" s="3" t="inlineStr">
        <is>
          <t>count</t>
        </is>
      </c>
      <c r="C23" s="3" t="inlineStr">
        <is>
          <t>person_id</t>
        </is>
      </c>
      <c r="D23" s="3" t="inlineStr">
        <is>
          <t>Program</t>
        </is>
      </c>
      <c r="E23" s="3" t="inlineStr">
        <is>
          <t>LABOUR AND DELIVERY PROGRAM</t>
        </is>
      </c>
      <c r="F23" s="3" t="inlineStr">
        <is>
          <t>Encounter</t>
        </is>
      </c>
      <c r="G23" s="3" t="inlineStr">
        <is>
          <t>LABOUR AND DELIVERY VISIT</t>
        </is>
      </c>
      <c r="H23" s="3" t="inlineStr">
        <is>
          <t>concept_name</t>
        </is>
      </c>
      <c r="I23" s="3" t="inlineStr">
        <is>
          <t>Obstetric complications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 ht="18" customHeight="1">
      <c r="A24" s="2" t="inlineStr">
        <is>
          <t>lab_comp_obstructed_num</t>
        </is>
      </c>
      <c r="B24" s="2" t="inlineStr">
        <is>
          <t>count</t>
        </is>
      </c>
      <c r="C24" s="2" t="inlineStr">
        <is>
          <t>person_id</t>
        </is>
      </c>
      <c r="D24" s="2" t="inlineStr">
        <is>
          <t>Program</t>
        </is>
      </c>
      <c r="E24" s="2" t="inlineStr">
        <is>
          <t>LABOUR AND DELIVERY PROGRAM</t>
        </is>
      </c>
      <c r="F24" s="2" t="inlineStr">
        <is>
          <t>Encounter</t>
        </is>
      </c>
      <c r="G24" s="2" t="inlineStr">
        <is>
          <t>LABOUR AND DELIVERY VISIT</t>
        </is>
      </c>
      <c r="H24" s="2" t="inlineStr">
        <is>
          <t>concept_name</t>
        </is>
      </c>
      <c r="I24" s="2" t="inlineStr">
        <is>
          <t>Obstetric complications</t>
        </is>
      </c>
      <c r="J24" s="2" t="inlineStr">
        <is>
          <t>Value</t>
        </is>
      </c>
      <c r="K24" s="2" t="inlineStr">
        <is>
          <t>obstructed/Prolonged labour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 ht="18" customHeight="1">
      <c r="A25" s="3" t="inlineStr">
        <is>
          <t>lab_comp_obstructed_den</t>
        </is>
      </c>
      <c r="B25" s="3" t="inlineStr">
        <is>
          <t>count</t>
        </is>
      </c>
      <c r="C25" s="3" t="inlineStr">
        <is>
          <t>person_id</t>
        </is>
      </c>
      <c r="D25" s="3" t="inlineStr">
        <is>
          <t>Program</t>
        </is>
      </c>
      <c r="E25" s="3" t="inlineStr">
        <is>
          <t>LABOUR AND DELIVERY PROGRAM</t>
        </is>
      </c>
      <c r="F25" s="3" t="inlineStr">
        <is>
          <t>Encounter</t>
        </is>
      </c>
      <c r="G25" s="3" t="inlineStr">
        <is>
          <t>LABOUR AND DELIVERY VISIT</t>
        </is>
      </c>
      <c r="H25" s="3" t="inlineStr">
        <is>
          <t>concept_name</t>
        </is>
      </c>
      <c r="I25" s="3" t="inlineStr">
        <is>
          <t>Obstetric complications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 ht="18" customHeight="1">
      <c r="A26" s="2" t="inlineStr">
        <is>
          <t>lab_oxytocin_given_num</t>
        </is>
      </c>
      <c r="B26" s="2" t="inlineStr">
        <is>
          <t>count</t>
        </is>
      </c>
      <c r="C26" s="2" t="inlineStr">
        <is>
          <t>person_id</t>
        </is>
      </c>
      <c r="D26" s="2" t="inlineStr">
        <is>
          <t>Program</t>
        </is>
      </c>
      <c r="E26" s="2" t="inlineStr">
        <is>
          <t>LABOUR AND DELIVERY PROGRAM</t>
        </is>
      </c>
      <c r="F26" s="2" t="inlineStr">
        <is>
          <t>Encounter</t>
        </is>
      </c>
      <c r="G26" s="2" t="inlineStr">
        <is>
          <t>LABOUR AND DELIVERY VISIT</t>
        </is>
      </c>
      <c r="H26" s="2" t="inlineStr">
        <is>
          <t>concept_name</t>
        </is>
      </c>
      <c r="I26" s="2" t="inlineStr">
        <is>
          <t>Oxytocin 10 IU given</t>
        </is>
      </c>
      <c r="J26" s="2" t="inlineStr">
        <is>
          <t>Value</t>
        </is>
      </c>
      <c r="K26" s="2" t="inlineStr">
        <is>
          <t>Yes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 ht="18" customHeight="1">
      <c r="A27" s="3" t="inlineStr">
        <is>
          <t>lab_oxytocin_given_den</t>
        </is>
      </c>
      <c r="B27" s="3" t="inlineStr">
        <is>
          <t>count</t>
        </is>
      </c>
      <c r="C27" s="3" t="inlineStr">
        <is>
          <t>person_id</t>
        </is>
      </c>
      <c r="D27" s="3" t="inlineStr">
        <is>
          <t>Program</t>
        </is>
      </c>
      <c r="E27" s="3" t="inlineStr">
        <is>
          <t>LABOUR AND DELIVERY PROGRAM</t>
        </is>
      </c>
      <c r="F27" s="3" t="inlineStr">
        <is>
          <t>Encounter</t>
        </is>
      </c>
      <c r="G27" s="3" t="inlineStr">
        <is>
          <t>LABOUR AND DELIVERY VISIT</t>
        </is>
      </c>
      <c r="H27" s="3" t="inlineStr">
        <is>
          <t>concept_name</t>
        </is>
      </c>
      <c r="I27" s="3" t="inlineStr">
        <is>
          <t>Mode of delivery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 ht="18" customHeight="1">
      <c r="A28" s="2" t="inlineStr">
        <is>
          <t>lab_mgso4_given_num</t>
        </is>
      </c>
      <c r="B28" s="2" t="inlineStr">
        <is>
          <t>count</t>
        </is>
      </c>
      <c r="C28" s="2" t="inlineStr">
        <is>
          <t>person_id</t>
        </is>
      </c>
      <c r="D28" s="2" t="inlineStr">
        <is>
          <t>Program</t>
        </is>
      </c>
      <c r="E28" s="2" t="inlineStr">
        <is>
          <t>LABOUR AND DELIVERY PROGRAM</t>
        </is>
      </c>
      <c r="F28" s="2" t="inlineStr">
        <is>
          <t>Encounter</t>
        </is>
      </c>
      <c r="G28" s="2" t="inlineStr">
        <is>
          <t>LABOUR AND DELIVERY VISIT</t>
        </is>
      </c>
      <c r="H28" s="2" t="inlineStr">
        <is>
          <t>concept_name</t>
        </is>
      </c>
      <c r="I28" s="2" t="inlineStr">
        <is>
          <t>Anticonvulsant administered</t>
        </is>
      </c>
      <c r="J28" s="2" t="inlineStr">
        <is>
          <t>Value</t>
        </is>
      </c>
      <c r="K28" s="2" t="inlineStr">
        <is>
          <t>Yes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 ht="18" customHeight="1">
      <c r="A29" s="3" t="inlineStr">
        <is>
          <t>lab_mgso4_given_den</t>
        </is>
      </c>
      <c r="B29" s="3" t="inlineStr">
        <is>
          <t>count</t>
        </is>
      </c>
      <c r="C29" s="3" t="inlineStr">
        <is>
          <t>person_id</t>
        </is>
      </c>
      <c r="D29" s="3" t="inlineStr">
        <is>
          <t>Program</t>
        </is>
      </c>
      <c r="E29" s="3" t="inlineStr">
        <is>
          <t>LABOUR AND DELIVERY PROGRAM</t>
        </is>
      </c>
      <c r="F29" s="3" t="inlineStr">
        <is>
          <t>Encounter</t>
        </is>
      </c>
      <c r="G29" s="3" t="inlineStr">
        <is>
          <t>LABOUR AND DELIVERY VISIT</t>
        </is>
      </c>
      <c r="H29" s="3" t="inlineStr">
        <is>
          <t>concept_name</t>
        </is>
      </c>
      <c r="I29" s="3" t="inlineStr">
        <is>
          <t>Obstetric complications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  <row r="2">
      <c r="A2" t="inlineStr">
        <is>
          <t>mnid_labour_report_v1</t>
        </is>
      </c>
      <c r="B2" t="inlineStr">
        <is>
          <t>MAHIS MNID LABOUR &amp; DELIVERY INDICATORS MONTHLY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period</t>
        </is>
      </c>
    </row>
    <row r="2">
      <c r="A2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32" customWidth="1" min="4" max="4"/>
    <col width="40" customWidth="1" min="5" max="5"/>
    <col width="40" customWidth="1" min="6" max="6"/>
  </cols>
  <sheetData>
    <row r="1">
      <c r="A1" s="4" t="inlineStr">
        <is>
          <t>CHART NAME</t>
        </is>
      </c>
      <c r="B1" s="4" t="inlineStr">
        <is>
          <t>CHART TYPE</t>
        </is>
      </c>
      <c r="C1" s="4" t="inlineStr">
        <is>
          <t>PROGRAM</t>
        </is>
      </c>
      <c r="D1" s="4" t="inlineStr">
        <is>
          <t>ENCOUNTER TO USE</t>
        </is>
      </c>
      <c r="E1" s="4" t="inlineStr">
        <is>
          <t>CONCEPT TO USE</t>
        </is>
      </c>
      <c r="F1" s="4" t="inlineStr">
        <is>
          <t>NOTES</t>
        </is>
      </c>
    </row>
    <row r="2" ht="22" customHeight="1">
      <c r="A2" s="5" t="inlineStr">
        <is>
          <t>Labour MNID — Partograph/Digital Monitoring</t>
        </is>
      </c>
      <c r="B2" s="5" t="inlineStr">
        <is>
          <t>Count + Donut</t>
        </is>
      </c>
      <c r="C2" s="5" t="inlineStr">
        <is>
          <t>LABOUR AND DELIVERY PROGRAM</t>
        </is>
      </c>
      <c r="D2" s="5" t="inlineStr">
        <is>
          <t>SUMMARY OF LABOUR</t>
        </is>
      </c>
      <c r="E2" s="5" t="inlineStr">
        <is>
          <t>Was a partograph used</t>
        </is>
      </c>
      <c r="F2" s="5" t="inlineStr">
        <is>
          <t>Yes vs No</t>
        </is>
      </c>
    </row>
    <row r="3" ht="22" customHeight="1">
      <c r="A3" s="6" t="inlineStr">
        <is>
          <t>Labour MNID — Antenatal Corticosteroids</t>
        </is>
      </c>
      <c r="B3" s="6" t="inlineStr">
        <is>
          <t>Count</t>
        </is>
      </c>
      <c r="C3" s="6" t="inlineStr">
        <is>
          <t>LABOUR AND DELIVERY PROGRAM</t>
        </is>
      </c>
      <c r="D3" s="6" t="inlineStr">
        <is>
          <t>LABOUR ASSESSMENT</t>
        </is>
      </c>
      <c r="E3" s="6" t="inlineStr">
        <is>
          <t>Corticosteroids given</t>
        </is>
      </c>
      <c r="F3" s="6" t="inlineStr">
        <is>
          <t>Yes (case-insensitive); GA&lt;37wks filter</t>
        </is>
      </c>
    </row>
    <row r="4" ht="22" customHeight="1">
      <c r="A4" s="5" t="inlineStr">
        <is>
          <t>Labour MNID — E-MOTIVE Bundle (PPH)</t>
        </is>
      </c>
      <c r="B4" s="5" t="inlineStr">
        <is>
          <t>Count + Donut</t>
        </is>
      </c>
      <c r="C4" s="5" t="inlineStr">
        <is>
          <t>LABOUR AND DELIVERY PROGRAM</t>
        </is>
      </c>
      <c r="D4" s="5" t="inlineStr">
        <is>
          <t>LABOUR AND DELIVERY VISIT</t>
        </is>
      </c>
      <c r="E4" s="5" t="inlineStr">
        <is>
          <t>Was E-MOTIVE bundle used</t>
        </is>
      </c>
      <c r="F4" s="5" t="inlineStr">
        <is>
          <t>Yes vs No</t>
        </is>
      </c>
    </row>
    <row r="5" ht="22" customHeight="1">
      <c r="A5" s="6" t="inlineStr">
        <is>
          <t>Labour MNID — Facility Deliveries</t>
        </is>
      </c>
      <c r="B5" s="6" t="inlineStr">
        <is>
          <t>Count + Donut</t>
        </is>
      </c>
      <c r="C5" s="6" t="inlineStr">
        <is>
          <t>LABOUR AND DELIVERY PROGRAM</t>
        </is>
      </c>
      <c r="D5" s="6" t="inlineStr">
        <is>
          <t>LABOUR AND DELIVERY VISIT</t>
        </is>
      </c>
      <c r="E5" s="6" t="inlineStr">
        <is>
          <t>Place of delivery</t>
        </is>
      </c>
      <c r="F5" s="6" t="inlineStr">
        <is>
          <t>This facility vs Other vs Home</t>
        </is>
      </c>
    </row>
    <row r="6" ht="22" customHeight="1">
      <c r="A6" s="5" t="inlineStr">
        <is>
          <t>Labour MNID — Skilled Delivery Attendance</t>
        </is>
      </c>
      <c r="B6" s="5" t="inlineStr">
        <is>
          <t>Count</t>
        </is>
      </c>
      <c r="C6" s="5" t="inlineStr">
        <is>
          <t>LABOUR AND DELIVERY PROGRAM</t>
        </is>
      </c>
      <c r="D6" s="5" t="inlineStr">
        <is>
          <t>LABOUR AND DELIVERY VISIT</t>
        </is>
      </c>
      <c r="E6" s="5" t="inlineStr">
        <is>
          <t>Staff conducting delivery</t>
        </is>
      </c>
      <c r="F6" s="5" t="inlineStr">
        <is>
          <t>Staff recorded vs absent</t>
        </is>
      </c>
    </row>
    <row r="7" ht="22" customHeight="1">
      <c r="A7" s="6" t="inlineStr">
        <is>
          <t>Labour MNID — Quality Intrapartum Care</t>
        </is>
      </c>
      <c r="B7" s="6" t="inlineStr">
        <is>
          <t>Grouped Bar</t>
        </is>
      </c>
      <c r="C7" s="6" t="inlineStr">
        <is>
          <t>LABOUR AND DELIVERY PROGRAM</t>
        </is>
      </c>
      <c r="D7" s="6" t="inlineStr">
        <is>
          <t>LABOUR AND DELIVERY VISIT</t>
        </is>
      </c>
      <c r="E7" s="6" t="inlineStr">
        <is>
          <t>Obstetric complications + Obstetric care provided</t>
        </is>
      </c>
      <c r="F7" s="6" t="inlineStr">
        <is>
          <t>Composite — custom logic</t>
        </is>
      </c>
    </row>
    <row r="8" ht="22" customHeight="1">
      <c r="A8" s="5" t="inlineStr">
        <is>
          <t>Labour — Mode of Delivery Breakdown</t>
        </is>
      </c>
      <c r="B8" s="5" t="inlineStr">
        <is>
          <t>Donut</t>
        </is>
      </c>
      <c r="C8" s="5" t="inlineStr">
        <is>
          <t>LABOUR AND DELIVERY PROGRAM</t>
        </is>
      </c>
      <c r="D8" s="5" t="inlineStr">
        <is>
          <t>LABOUR AND DELIVERY VISIT</t>
        </is>
      </c>
      <c r="E8" s="5" t="inlineStr">
        <is>
          <t>Mode of delivery</t>
        </is>
      </c>
      <c r="F8" s="5" t="inlineStr">
        <is>
          <t>Vaginal / C-section / Vacuum / Breech</t>
        </is>
      </c>
    </row>
    <row r="9" ht="22" customHeight="1">
      <c r="A9" s="6" t="inlineStr">
        <is>
          <t>Labour — Obstetric Complications Prevalence</t>
        </is>
      </c>
      <c r="B9" s="6" t="inlineStr">
        <is>
          <t>Horizontal Bar</t>
        </is>
      </c>
      <c r="C9" s="6" t="inlineStr">
        <is>
          <t>LABOUR AND DELIVERY PROGRAM</t>
        </is>
      </c>
      <c r="D9" s="6" t="inlineStr">
        <is>
          <t>LABOUR AND DELIVERY VISIT</t>
        </is>
      </c>
      <c r="E9" s="6" t="inlineStr">
        <is>
          <t>Obstetric complications</t>
        </is>
      </c>
      <c r="F9" s="6" t="inlineStr">
        <is>
          <t>PPH / Eclampsia / Sepsis / Obstructed / Other</t>
        </is>
      </c>
    </row>
    <row r="10" ht="22" customHeight="1">
      <c r="A10" s="5" t="inlineStr">
        <is>
          <t>Labour — Oxytocin 10 IU AMTSL</t>
        </is>
      </c>
      <c r="B10" s="5" t="inlineStr">
        <is>
          <t>Count</t>
        </is>
      </c>
      <c r="C10" s="5" t="inlineStr">
        <is>
          <t>LABOUR AND DELIVERY PROGRAM</t>
        </is>
      </c>
      <c r="D10" s="5" t="inlineStr">
        <is>
          <t>LABOUR AND DELIVERY VISIT</t>
        </is>
      </c>
      <c r="E10" s="5" t="inlineStr">
        <is>
          <t>Oxytocin 10 IU given</t>
        </is>
      </c>
      <c r="F10" s="5" t="inlineStr">
        <is>
          <t>Yes vs No</t>
        </is>
      </c>
    </row>
    <row r="11" ht="22" customHeight="1">
      <c r="A11" s="6" t="inlineStr">
        <is>
          <t>Labour — Magnesium Sulphate (Eclampsia Cases)</t>
        </is>
      </c>
      <c r="B11" s="6" t="inlineStr">
        <is>
          <t>Count</t>
        </is>
      </c>
      <c r="C11" s="6" t="inlineStr">
        <is>
          <t>LABOUR AND DELIVERY PROGRAM</t>
        </is>
      </c>
      <c r="D11" s="6" t="inlineStr">
        <is>
          <t>LABOUR AND DELIVERY VISIT</t>
        </is>
      </c>
      <c r="E11" s="6" t="inlineStr">
        <is>
          <t>Anticonvulsant administered</t>
        </is>
      </c>
      <c r="F11" s="6" t="inlineStr">
        <is>
          <t>Yes; denominator=eclampsia cases</t>
        </is>
      </c>
    </row>
    <row r="12" ht="22" customHeight="1">
      <c r="A12" s="5" t="inlineStr">
        <is>
          <t>Labour — Estimated Blood Loss Distribution</t>
        </is>
      </c>
      <c r="B12" s="5" t="inlineStr">
        <is>
          <t>Histogram</t>
        </is>
      </c>
      <c r="C12" s="5" t="inlineStr">
        <is>
          <t>LABOUR AND DELIVERY PROGRAM</t>
        </is>
      </c>
      <c r="D12" s="5" t="inlineStr">
        <is>
          <t>LABOUR AND DELIVERY VISIT</t>
        </is>
      </c>
      <c r="E12" s="5" t="inlineStr">
        <is>
          <t>Estimated blood loss</t>
        </is>
      </c>
      <c r="F12" s="5" t="inlineStr">
        <is>
          <t>Numeric mL distribution</t>
        </is>
      </c>
    </row>
    <row r="13" ht="22" customHeight="1">
      <c r="A13" s="6" t="inlineStr">
        <is>
          <t>Labour — Newborn Condition at Birth</t>
        </is>
      </c>
      <c r="B13" s="6" t="inlineStr">
        <is>
          <t>Donut</t>
        </is>
      </c>
      <c r="C13" s="6" t="inlineStr">
        <is>
          <t>LABOUR AND DELIVERY PROGRAM</t>
        </is>
      </c>
      <c r="D13" s="6" t="inlineStr">
        <is>
          <t>LABOUR AND DELIVERY VISIT</t>
        </is>
      </c>
      <c r="E13" s="6" t="inlineStr">
        <is>
          <t>Baby general condition at birth</t>
        </is>
      </c>
      <c r="F13" s="6" t="inlineStr">
        <is>
          <t>Good / Fair / Poor / Stillbirth</t>
        </is>
      </c>
    </row>
    <row r="14" ht="22" customHeight="1">
      <c r="A14" s="5" t="inlineStr">
        <is>
          <t>Labour — Birth Weight Distribution</t>
        </is>
      </c>
      <c r="B14" s="5" t="inlineStr">
        <is>
          <t>Histogram</t>
        </is>
      </c>
      <c r="C14" s="5" t="inlineStr">
        <is>
          <t>LABOUR AND DELIVERY PROGRAM</t>
        </is>
      </c>
      <c r="D14" s="5" t="inlineStr">
        <is>
          <t>LABOUR AND DELIVERY VISIT</t>
        </is>
      </c>
      <c r="E14" s="5" t="inlineStr">
        <is>
          <t>Baby Birthweight</t>
        </is>
      </c>
      <c r="F14" s="5" t="inlineStr">
        <is>
          <t>Numeric kg bands: &lt;1.0, 1.0-1.5, 1.5-2.0, 2.0-2.5, ≥2.5</t>
        </is>
      </c>
    </row>
    <row r="15" ht="22" customHeight="1">
      <c r="A15" s="6" t="inlineStr">
        <is>
          <t>Labour — Newborn Mgmt Given (multiselect)</t>
        </is>
      </c>
      <c r="B15" s="6" t="inlineStr">
        <is>
          <t>Horizontal Bar</t>
        </is>
      </c>
      <c r="C15" s="6" t="inlineStr">
        <is>
          <t>LABOUR AND DELIVERY PROGRAM</t>
        </is>
      </c>
      <c r="D15" s="6" t="inlineStr">
        <is>
          <t>LABOUR AND DELIVERY VISIT</t>
        </is>
      </c>
      <c r="E15" s="6" t="inlineStr">
        <is>
          <t>Management given to newborn</t>
        </is>
      </c>
      <c r="F15" s="6" t="inlineStr">
        <is>
          <t>Routine/KMC/Antibiotics/Resuscitation/O2/Photo/CPAP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36" customWidth="1" min="4" max="4"/>
    <col width="14" customWidth="1" min="5" max="5"/>
    <col width="16" customWidth="1" min="6" max="6"/>
  </cols>
  <sheetData>
    <row r="1">
      <c r="A1" s="4" t="inlineStr">
        <is>
          <t>Program</t>
        </is>
      </c>
      <c r="B1" s="4" t="inlineStr">
        <is>
          <t>Encounter</t>
        </is>
      </c>
      <c r="C1" s="4" t="inlineStr">
        <is>
          <t>concept_name</t>
        </is>
      </c>
      <c r="D1" s="4" t="inlineStr">
        <is>
          <t>Value</t>
        </is>
      </c>
      <c r="E1" s="4" t="inlineStr">
        <is>
          <t>Measure</t>
        </is>
      </c>
      <c r="F1" s="4" t="inlineStr">
        <is>
          <t>Unique_columns</t>
        </is>
      </c>
    </row>
    <row r="2" ht="18" customHeight="1">
      <c r="A2" s="7" t="inlineStr">
        <is>
          <t>LABOUR AND DELIVERY PROGRAM</t>
        </is>
      </c>
      <c r="B2" s="7" t="inlineStr">
        <is>
          <t>SUMMARY OF LABOUR</t>
        </is>
      </c>
      <c r="C2" s="7" t="inlineStr">
        <is>
          <t>Was a partograph used</t>
        </is>
      </c>
      <c r="D2" s="7" t="inlineStr">
        <is>
          <t>Yes</t>
        </is>
      </c>
      <c r="E2" s="7" t="inlineStr">
        <is>
          <t>count</t>
        </is>
      </c>
      <c r="F2" s="7" t="inlineStr">
        <is>
          <t>person_id</t>
        </is>
      </c>
    </row>
    <row r="3" ht="18" customHeight="1">
      <c r="A3" s="8" t="inlineStr">
        <is>
          <t>LABOUR AND DELIVERY PROGRAM</t>
        </is>
      </c>
      <c r="B3" s="8" t="inlineStr">
        <is>
          <t>LABOUR ASSESSMENT</t>
        </is>
      </c>
      <c r="C3" s="8" t="inlineStr">
        <is>
          <t>Corticosteroids given</t>
        </is>
      </c>
      <c r="D3" s="8" t="inlineStr">
        <is>
          <t>Yes</t>
        </is>
      </c>
      <c r="E3" s="8" t="inlineStr">
        <is>
          <t>count</t>
        </is>
      </c>
      <c r="F3" s="8" t="inlineStr">
        <is>
          <t>person_id</t>
        </is>
      </c>
    </row>
    <row r="4" ht="18" customHeight="1">
      <c r="A4" s="7" t="inlineStr">
        <is>
          <t>LABOUR AND DELIVERY PROGRAM</t>
        </is>
      </c>
      <c r="B4" s="7" t="inlineStr">
        <is>
          <t>LABOUR AND DELIVERY VISIT</t>
        </is>
      </c>
      <c r="C4" s="7" t="inlineStr">
        <is>
          <t>Place of delivery</t>
        </is>
      </c>
      <c r="D4" s="7" t="inlineStr">
        <is>
          <t>This facility</t>
        </is>
      </c>
      <c r="E4" s="7" t="inlineStr">
        <is>
          <t>count</t>
        </is>
      </c>
      <c r="F4" s="7" t="inlineStr">
        <is>
          <t>person_id</t>
        </is>
      </c>
    </row>
    <row r="5" ht="18" customHeight="1">
      <c r="A5" s="8" t="inlineStr">
        <is>
          <t>LABOUR AND DELIVERY PROGRAM</t>
        </is>
      </c>
      <c r="B5" s="8" t="inlineStr">
        <is>
          <t>LABOUR AND DELIVERY VISIT</t>
        </is>
      </c>
      <c r="C5" s="8" t="inlineStr">
        <is>
          <t>Staff conducting delivery</t>
        </is>
      </c>
      <c r="D5" s="8" t="inlineStr">
        <is>
          <t>(any value)</t>
        </is>
      </c>
      <c r="E5" s="8" t="inlineStr">
        <is>
          <t>count</t>
        </is>
      </c>
      <c r="F5" s="8" t="inlineStr">
        <is>
          <t>person_id</t>
        </is>
      </c>
    </row>
    <row r="6" ht="18" customHeight="1">
      <c r="A6" s="7" t="inlineStr">
        <is>
          <t>LABOUR AND DELIVERY PROGRAM</t>
        </is>
      </c>
      <c r="B6" s="7" t="inlineStr">
        <is>
          <t>LABOUR AND DELIVERY VISIT</t>
        </is>
      </c>
      <c r="C6" s="7" t="inlineStr">
        <is>
          <t>Mode of delivery</t>
        </is>
      </c>
      <c r="D6" s="7" t="inlineStr">
        <is>
          <t>Normal Vaginal Delivery</t>
        </is>
      </c>
      <c r="E6" s="7" t="inlineStr">
        <is>
          <t>count</t>
        </is>
      </c>
      <c r="F6" s="7" t="inlineStr">
        <is>
          <t>person_id</t>
        </is>
      </c>
    </row>
    <row r="7" ht="18" customHeight="1">
      <c r="A7" s="8" t="inlineStr">
        <is>
          <t>LABOUR AND DELIVERY PROGRAM</t>
        </is>
      </c>
      <c r="B7" s="8" t="inlineStr">
        <is>
          <t>LABOUR AND DELIVERY VISIT</t>
        </is>
      </c>
      <c r="C7" s="8" t="inlineStr">
        <is>
          <t>Mode of delivery</t>
        </is>
      </c>
      <c r="D7" s="8" t="inlineStr">
        <is>
          <t>Caesarian Section</t>
        </is>
      </c>
      <c r="E7" s="8" t="inlineStr">
        <is>
          <t>count</t>
        </is>
      </c>
      <c r="F7" s="8" t="inlineStr">
        <is>
          <t>person_id</t>
        </is>
      </c>
    </row>
    <row r="8" ht="18" customHeight="1">
      <c r="A8" s="7" t="inlineStr">
        <is>
          <t>LABOUR AND DELIVERY PROGRAM</t>
        </is>
      </c>
      <c r="B8" s="7" t="inlineStr">
        <is>
          <t>LABOUR AND DELIVERY VISIT</t>
        </is>
      </c>
      <c r="C8" s="7" t="inlineStr">
        <is>
          <t>Obstetric complications</t>
        </is>
      </c>
      <c r="D8" s="7" t="inlineStr">
        <is>
          <t>PPH</t>
        </is>
      </c>
      <c r="E8" s="7" t="inlineStr">
        <is>
          <t>count</t>
        </is>
      </c>
      <c r="F8" s="7" t="inlineStr">
        <is>
          <t>person_id</t>
        </is>
      </c>
    </row>
    <row r="9" ht="18" customHeight="1">
      <c r="A9" s="8" t="inlineStr">
        <is>
          <t>LABOUR AND DELIVERY PROGRAM</t>
        </is>
      </c>
      <c r="B9" s="8" t="inlineStr">
        <is>
          <t>LABOUR AND DELIVERY VISIT</t>
        </is>
      </c>
      <c r="C9" s="8" t="inlineStr">
        <is>
          <t>Oxytocin 10 IU given</t>
        </is>
      </c>
      <c r="D9" s="8" t="inlineStr">
        <is>
          <t>Yes</t>
        </is>
      </c>
      <c r="E9" s="8" t="inlineStr">
        <is>
          <t>count</t>
        </is>
      </c>
      <c r="F9" s="8" t="inlineStr">
        <is>
          <t>person_id</t>
        </is>
      </c>
    </row>
    <row r="10" ht="18" customHeight="1">
      <c r="A10" s="7" t="inlineStr">
        <is>
          <t>LABOUR AND DELIVERY PROGRAM</t>
        </is>
      </c>
      <c r="B10" s="7" t="inlineStr">
        <is>
          <t>LABOUR AND DELIVERY VISIT</t>
        </is>
      </c>
      <c r="C10" s="7" t="inlineStr">
        <is>
          <t>Anticonvulsant administered</t>
        </is>
      </c>
      <c r="D10" s="7" t="inlineStr">
        <is>
          <t>Yes</t>
        </is>
      </c>
      <c r="E10" s="7" t="inlineStr">
        <is>
          <t>count</t>
        </is>
      </c>
      <c r="F10" s="7" t="inlineStr">
        <is>
          <t>person_id</t>
        </is>
      </c>
    </row>
    <row r="11" ht="18" customHeight="1">
      <c r="A11" s="8" t="inlineStr">
        <is>
          <t>LABOUR AND DELIVERY PROGRAM</t>
        </is>
      </c>
      <c r="B11" s="8" t="inlineStr">
        <is>
          <t>LABOUR AND DELIVERY VISIT</t>
        </is>
      </c>
      <c r="C11" s="8" t="inlineStr">
        <is>
          <t>Baby Birthweight</t>
        </is>
      </c>
      <c r="D11" s="8" t="inlineStr">
        <is>
          <t>(numeric kg)</t>
        </is>
      </c>
      <c r="E11" s="8" t="inlineStr">
        <is>
          <t>count</t>
        </is>
      </c>
      <c r="F11" s="8" t="inlineStr">
        <is>
          <t>person_id</t>
        </is>
      </c>
    </row>
    <row r="12" ht="18" customHeight="1">
      <c r="A12" s="7" t="inlineStr">
        <is>
          <t>LABOUR AND DELIVERY PROGRAM</t>
        </is>
      </c>
      <c r="B12" s="7" t="inlineStr">
        <is>
          <t>LABOUR AND DELIVERY VISIT</t>
        </is>
      </c>
      <c r="C12" s="7" t="inlineStr">
        <is>
          <t>Management given to newborn</t>
        </is>
      </c>
      <c r="D12" s="7" t="inlineStr">
        <is>
          <t>Kangaroo mother care</t>
        </is>
      </c>
      <c r="E12" s="7" t="inlineStr">
        <is>
          <t>count</t>
        </is>
      </c>
      <c r="F12" s="7" t="inlineStr">
        <is>
          <t>person_id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2026-03-27T06:27:50Z</dcterms:created>
  <dcterms:modified xsi:type="dcterms:W3CDTF">2026-03-27T06:27:50Z</dcterms:modified>
</cp:coreProperties>
</file>