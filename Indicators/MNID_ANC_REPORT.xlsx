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_NAMES" sheetId="1" state="visible" r:id="rId1"/>
    <sheet name="FILTERS" sheetId="2" state="visible" r:id="rId2"/>
    <sheet name="REPORT_NAME" sheetId="3" state="visible" r:id="rId3"/>
    <sheet name="SETTINGS" sheetId="4" state="visible" r:id="rId4"/>
    <sheet name="DESIGN" sheetId="5" state="visible" r:id="rId5"/>
    <sheet name="DATA EX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8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  <fill>
      <patternFill patternType="solid">
        <fgColor rgb="00263238"/>
        <bgColor rgb="00263238"/>
      </patternFill>
    </fill>
    <fill>
      <patternFill patternType="solid">
        <fgColor rgb="00EFEFEF"/>
        <bgColor rgb="00EFEFEF"/>
      </patternFill>
    </fill>
    <fill>
      <patternFill patternType="solid">
        <fgColor rgb="00F9F9F9"/>
        <bgColor rgb="00F9F9F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 wrapText="1"/>
    </xf>
    <xf numFmtId="0" fontId="2" fillId="7" borderId="2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left" vertical="center"/>
    </xf>
    <xf numFmtId="0" fontId="2" fillId="7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3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1" t="inlineStr">
        <is>
          <t>name</t>
        </is>
      </c>
      <c r="B1" s="1" t="inlineStr">
        <is>
          <t>type</t>
        </is>
      </c>
      <c r="C1" s="1" t="inlineStr">
        <is>
          <t>value_1x1</t>
        </is>
      </c>
      <c r="D1" s="1" t="inlineStr">
        <is>
          <t>value_1x2</t>
        </is>
      </c>
      <c r="E1" s="1" t="inlineStr">
        <is>
          <t>value_1x3</t>
        </is>
      </c>
      <c r="F1" s="1" t="inlineStr">
        <is>
          <t>value_1x4</t>
        </is>
      </c>
      <c r="G1" s="1" t="inlineStr">
        <is>
          <t>value_1x5</t>
        </is>
      </c>
      <c r="H1" s="1" t="inlineStr">
        <is>
          <t>value_1x6</t>
        </is>
      </c>
      <c r="I1" s="1" t="inlineStr">
        <is>
          <t>value_1x7</t>
        </is>
      </c>
      <c r="J1" s="1" t="inlineStr">
        <is>
          <t>value_1x8</t>
        </is>
      </c>
      <c r="K1" s="1" t="inlineStr">
        <is>
          <t>value_1x9</t>
        </is>
      </c>
      <c r="L1" s="1" t="inlineStr">
        <is>
          <t>value_1x10</t>
        </is>
      </c>
    </row>
    <row r="2" ht="18" customHeight="1">
      <c r="A2" s="2" t="inlineStr">
        <is>
          <t>ANC MNID Priority Indicators — Coverage</t>
        </is>
      </c>
      <c r="B2" s="2" t="inlineStr">
        <is>
          <t>section</t>
        </is>
      </c>
      <c r="C2" s="2" t="inlineStr">
        <is>
          <t>Count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 ht="18" customHeight="1">
      <c r="A3" s="3" t="inlineStr">
        <is>
          <t>ANC screened for anaemia</t>
        </is>
      </c>
      <c r="B3" s="3" t="inlineStr">
        <is>
          <t>section</t>
        </is>
      </c>
      <c r="C3" s="3" t="inlineStr">
        <is>
          <t>Count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 ht="18" customHeight="1">
      <c r="A4" s="2" t="inlineStr">
        <is>
          <t xml:space="preserve">  Numerator (count)</t>
        </is>
      </c>
      <c r="B4" s="2" t="inlineStr"/>
      <c r="C4" s="2" t="inlineStr">
        <is>
          <t>anc_anaemia_screened_num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 ht="18" customHeight="1">
      <c r="A5" s="3" t="inlineStr">
        <is>
          <t xml:space="preserve">  Denominator (count)</t>
        </is>
      </c>
      <c r="B5" s="3" t="inlineStr"/>
      <c r="C5" s="3" t="inlineStr">
        <is>
          <t>anc_anaemia_screened_den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</row>
    <row r="6" ht="18" customHeight="1">
      <c r="A6" s="2" t="inlineStr">
        <is>
          <t xml:space="preserve">  ANC screened for anaemia (%)</t>
        </is>
      </c>
      <c r="B6" s="2" t="inlineStr">
        <is>
          <t>pct</t>
        </is>
      </c>
      <c r="C6" s="2">
        <f>anc_anaemia_screened_num/anc_anaemia_screened_den*100</f>
        <v/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 ht="18" customHeight="1">
      <c r="A7" s="3" t="inlineStr">
        <is>
          <t>ANC screened for infection</t>
        </is>
      </c>
      <c r="B7" s="3" t="inlineStr">
        <is>
          <t>section</t>
        </is>
      </c>
      <c r="C7" s="3" t="inlineStr">
        <is>
          <t>Count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</row>
    <row r="8" ht="18" customHeight="1">
      <c r="A8" s="2" t="inlineStr">
        <is>
          <t xml:space="preserve">  Numerator (count)</t>
        </is>
      </c>
      <c r="B8" s="2" t="inlineStr"/>
      <c r="C8" s="2" t="inlineStr">
        <is>
          <t>anc_infection_screened_num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 ht="18" customHeight="1">
      <c r="A9" s="3" t="inlineStr">
        <is>
          <t xml:space="preserve">  Denominator (count)</t>
        </is>
      </c>
      <c r="B9" s="3" t="inlineStr"/>
      <c r="C9" s="3" t="inlineStr">
        <is>
          <t>anc_infection_screened_den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 ht="18" customHeight="1">
      <c r="A10" s="2" t="inlineStr">
        <is>
          <t xml:space="preserve">  ANC screened for infection (%)</t>
        </is>
      </c>
      <c r="B10" s="2" t="inlineStr">
        <is>
          <t>pct</t>
        </is>
      </c>
      <c r="C10" s="2">
        <f>anc_infection_screened_num/anc_infection_screened_den*100</f>
        <v/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 ht="18" customHeight="1">
      <c r="A11" s="3" t="inlineStr">
        <is>
          <t>ANC screened for high blood pressure</t>
        </is>
      </c>
      <c r="B11" s="3" t="inlineStr">
        <is>
          <t>section</t>
        </is>
      </c>
      <c r="C11" s="3" t="inlineStr">
        <is>
          <t>Count</t>
        </is>
      </c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 ht="18" customHeight="1">
      <c r="A12" s="2" t="inlineStr">
        <is>
          <t xml:space="preserve">  Numerator (count)</t>
        </is>
      </c>
      <c r="B12" s="2" t="inlineStr"/>
      <c r="C12" s="2" t="inlineStr">
        <is>
          <t>anc_bp_screened_num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 ht="18" customHeight="1">
      <c r="A13" s="3" t="inlineStr">
        <is>
          <t xml:space="preserve">  Denominator (count)</t>
        </is>
      </c>
      <c r="B13" s="3" t="inlineStr"/>
      <c r="C13" s="3" t="inlineStr">
        <is>
          <t>anc_bp_screened_den</t>
        </is>
      </c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 ht="18" customHeight="1">
      <c r="A14" s="2" t="inlineStr">
        <is>
          <t xml:space="preserve">  ANC screened for high blood pressure (%)</t>
        </is>
      </c>
      <c r="B14" s="2" t="inlineStr">
        <is>
          <t>pct</t>
        </is>
      </c>
      <c r="C14" s="2">
        <f>anc_bp_screened_num/anc_bp_screened_den*100</f>
        <v/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 ht="18" customHeight="1">
      <c r="A15" s="3" t="inlineStr">
        <is>
          <t>HIV-tested + anaemia + BP screened (composite)</t>
        </is>
      </c>
      <c r="B15" s="3" t="inlineStr">
        <is>
          <t>section</t>
        </is>
      </c>
      <c r="C15" s="3" t="inlineStr">
        <is>
          <t>Count</t>
        </is>
      </c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 ht="18" customHeight="1">
      <c r="A16" s="2" t="inlineStr">
        <is>
          <t xml:space="preserve">  Numerator (count)</t>
        </is>
      </c>
      <c r="B16" s="2" t="inlineStr"/>
      <c r="C16" s="2" t="inlineStr">
        <is>
          <t>anc_composite_3test_num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 ht="18" customHeight="1">
      <c r="A17" s="3" t="inlineStr">
        <is>
          <t xml:space="preserve">  Denominator (count)</t>
        </is>
      </c>
      <c r="B17" s="3" t="inlineStr"/>
      <c r="C17" s="3" t="inlineStr">
        <is>
          <t>anc_composite_3test_den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 ht="18" customHeight="1">
      <c r="A18" s="2" t="inlineStr">
        <is>
          <t xml:space="preserve">  HIV-tested + anaemia + BP screened (composite) (%)</t>
        </is>
      </c>
      <c r="B18" s="2" t="inlineStr">
        <is>
          <t>pct</t>
        </is>
      </c>
      <c r="C18" s="2">
        <f>anc_composite_3test_num/anc_composite_3test_den*100</f>
        <v/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 ht="18" customHeight="1">
      <c r="A19" s="3" t="inlineStr">
        <is>
          <t>Ultrasound / POCUS with gestational age recorded</t>
        </is>
      </c>
      <c r="B19" s="3" t="inlineStr">
        <is>
          <t>section</t>
        </is>
      </c>
      <c r="C19" s="3" t="inlineStr">
        <is>
          <t>Count</t>
        </is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 ht="18" customHeight="1">
      <c r="A20" s="2" t="inlineStr">
        <is>
          <t xml:space="preserve">  Numerator (count)</t>
        </is>
      </c>
      <c r="B20" s="2" t="inlineStr"/>
      <c r="C20" s="2" t="inlineStr">
        <is>
          <t>anc_ultrasound_done_num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 ht="18" customHeight="1">
      <c r="A21" s="3" t="inlineStr">
        <is>
          <t xml:space="preserve">  Denominator (count)</t>
        </is>
      </c>
      <c r="B21" s="3" t="inlineStr"/>
      <c r="C21" s="3" t="inlineStr">
        <is>
          <t>anc_ultrasound_done_den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 ht="18" customHeight="1">
      <c r="A22" s="2" t="inlineStr">
        <is>
          <t xml:space="preserve">  Ultrasound / POCUS with gestational age recorded (%)</t>
        </is>
      </c>
      <c r="B22" s="2" t="inlineStr">
        <is>
          <t>pct</t>
        </is>
      </c>
      <c r="C22" s="2">
        <f>anc_ultrasound_done_num/anc_ultrasound_done_den*100</f>
        <v/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 ht="18" customHeight="1">
      <c r="A23" s="3" t="inlineStr">
        <is>
          <t>ANC received 2+ tetanus doses (TDV)</t>
        </is>
      </c>
      <c r="B23" s="3" t="inlineStr">
        <is>
          <t>section</t>
        </is>
      </c>
      <c r="C23" s="3" t="inlineStr">
        <is>
          <t>Count</t>
        </is>
      </c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  <row r="24" ht="18" customHeight="1">
      <c r="A24" s="2" t="inlineStr">
        <is>
          <t xml:space="preserve">  Numerator (count)</t>
        </is>
      </c>
      <c r="B24" s="2" t="inlineStr"/>
      <c r="C24" s="2" t="inlineStr">
        <is>
          <t>anc_tdv_2plus_num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 ht="18" customHeight="1">
      <c r="A25" s="3" t="inlineStr">
        <is>
          <t xml:space="preserve">  Denominator (count)</t>
        </is>
      </c>
      <c r="B25" s="3" t="inlineStr"/>
      <c r="C25" s="3" t="inlineStr">
        <is>
          <t>anc_tdv_2plus_den</t>
        </is>
      </c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6" ht="18" customHeight="1">
      <c r="A26" s="2" t="inlineStr">
        <is>
          <t xml:space="preserve">  ANC received 2+ tetanus doses (TDV) (%)</t>
        </is>
      </c>
      <c r="B26" s="2" t="inlineStr">
        <is>
          <t>pct</t>
        </is>
      </c>
      <c r="C26" s="2">
        <f>anc_tdv_2plus_num/anc_tdv_2plus_den*100</f>
        <v/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 ht="18" customHeight="1">
      <c r="A27" s="3" t="inlineStr">
        <is>
          <t>Iron + Folic Acid (FeFo) dispensed</t>
        </is>
      </c>
      <c r="B27" s="3" t="inlineStr">
        <is>
          <t>section</t>
        </is>
      </c>
      <c r="C27" s="3" t="inlineStr">
        <is>
          <t>Count</t>
        </is>
      </c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</row>
    <row r="28" ht="18" customHeight="1">
      <c r="A28" s="2" t="inlineStr">
        <is>
          <t xml:space="preserve">  Numerator (count)</t>
        </is>
      </c>
      <c r="B28" s="2" t="inlineStr"/>
      <c r="C28" s="2" t="inlineStr">
        <is>
          <t>anc_fefo_dispensed_num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 ht="18" customHeight="1">
      <c r="A29" s="3" t="inlineStr">
        <is>
          <t xml:space="preserve">  Denominator (count)</t>
        </is>
      </c>
      <c r="B29" s="3" t="inlineStr"/>
      <c r="C29" s="3" t="inlineStr">
        <is>
          <t>anc_fefo_dispensed_den</t>
        </is>
      </c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</row>
    <row r="30" ht="18" customHeight="1">
      <c r="A30" s="2" t="inlineStr">
        <is>
          <t xml:space="preserve">  Iron + Folic Acid (FeFo) dispensed (%)</t>
        </is>
      </c>
      <c r="B30" s="2" t="inlineStr">
        <is>
          <t>pct</t>
        </is>
      </c>
      <c r="C30" s="2">
        <f>anc_fefo_dispensed_num/anc_fefo_dispensed_den*100</f>
        <v/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 ht="18" customHeight="1">
      <c r="A31" s="3" t="inlineStr">
        <is>
          <t>SP (Sulphadoxine-Pyrimethamine) dispensed for malaria prophylaxis</t>
        </is>
      </c>
      <c r="B31" s="3" t="inlineStr">
        <is>
          <t>section</t>
        </is>
      </c>
      <c r="C31" s="3" t="inlineStr">
        <is>
          <t>Count</t>
        </is>
      </c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</row>
    <row r="32" ht="18" customHeight="1">
      <c r="A32" s="2" t="inlineStr">
        <is>
          <t xml:space="preserve">  Numerator (count)</t>
        </is>
      </c>
      <c r="B32" s="2" t="inlineStr"/>
      <c r="C32" s="2" t="inlineStr">
        <is>
          <t>anc_sp_dispensed_num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 ht="18" customHeight="1">
      <c r="A33" s="3" t="inlineStr">
        <is>
          <t xml:space="preserve">  Denominator (count)</t>
        </is>
      </c>
      <c r="B33" s="3" t="inlineStr"/>
      <c r="C33" s="3" t="inlineStr">
        <is>
          <t>anc_sp_dispensed_den</t>
        </is>
      </c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</row>
    <row r="34" ht="18" customHeight="1">
      <c r="A34" s="2" t="inlineStr">
        <is>
          <t xml:space="preserve">  SP (Sulphadoxine-Pyrimethamine) dispensed for malaria prophylaxis (%)</t>
        </is>
      </c>
      <c r="B34" s="2" t="inlineStr">
        <is>
          <t>pct</t>
        </is>
      </c>
      <c r="C34" s="2">
        <f>anc_sp_dispensed_num/anc_sp_dispensed_den*100</f>
        <v/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</row>
    <row r="35" ht="18" customHeight="1">
      <c r="A35" s="3" t="inlineStr">
        <is>
          <t>Aspirin dispensed (pre-eclampsia prevention)</t>
        </is>
      </c>
      <c r="B35" s="3" t="inlineStr">
        <is>
          <t>section</t>
        </is>
      </c>
      <c r="C35" s="3" t="inlineStr">
        <is>
          <t>Count</t>
        </is>
      </c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</row>
    <row r="36" ht="18" customHeight="1">
      <c r="A36" s="2" t="inlineStr">
        <is>
          <t xml:space="preserve">  Numerator (count)</t>
        </is>
      </c>
      <c r="B36" s="2" t="inlineStr"/>
      <c r="C36" s="2" t="inlineStr">
        <is>
          <t>anc_aspirin_dispensed_num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</row>
    <row r="37" ht="18" customHeight="1">
      <c r="A37" s="3" t="inlineStr">
        <is>
          <t xml:space="preserve">  Denominator (count)</t>
        </is>
      </c>
      <c r="B37" s="3" t="inlineStr"/>
      <c r="C37" s="3" t="inlineStr">
        <is>
          <t>anc_aspirin_dispensed_den</t>
        </is>
      </c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</row>
    <row r="38" ht="18" customHeight="1">
      <c r="A38" s="2" t="inlineStr">
        <is>
          <t xml:space="preserve">  Aspirin dispensed (pre-eclampsia prevention) (%)</t>
        </is>
      </c>
      <c r="B38" s="2" t="inlineStr">
        <is>
          <t>pct</t>
        </is>
      </c>
      <c r="C38" s="2">
        <f>anc_aspirin_dispensed_num/anc_aspirin_dispensed_den*100</f>
        <v/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</row>
    <row r="39" ht="18" customHeight="1">
      <c r="A39" s="3" t="inlineStr">
        <is>
          <t>Insecticide-Treated Net (ITN) issued</t>
        </is>
      </c>
      <c r="B39" s="3" t="inlineStr">
        <is>
          <t>section</t>
        </is>
      </c>
      <c r="C39" s="3" t="inlineStr">
        <is>
          <t>Count</t>
        </is>
      </c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</row>
    <row r="40" ht="18" customHeight="1">
      <c r="A40" s="2" t="inlineStr">
        <is>
          <t xml:space="preserve">  Numerator (count)</t>
        </is>
      </c>
      <c r="B40" s="2" t="inlineStr"/>
      <c r="C40" s="2" t="inlineStr">
        <is>
          <t>anc_itn_given_num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</row>
    <row r="41" ht="18" customHeight="1">
      <c r="A41" s="3" t="inlineStr">
        <is>
          <t xml:space="preserve">  Denominator (count)</t>
        </is>
      </c>
      <c r="B41" s="3" t="inlineStr"/>
      <c r="C41" s="3" t="inlineStr">
        <is>
          <t>anc_itn_given_den</t>
        </is>
      </c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</row>
    <row r="42" ht="18" customHeight="1">
      <c r="A42" s="2" t="inlineStr">
        <is>
          <t xml:space="preserve">  Insecticide-Treated Net (ITN) issued (%)</t>
        </is>
      </c>
      <c r="B42" s="2" t="inlineStr">
        <is>
          <t>pct</t>
        </is>
      </c>
      <c r="C42" s="2">
        <f>anc_itn_given_num/anc_itn_given_den*100</f>
        <v/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</row>
    <row r="43" ht="18" customHeight="1">
      <c r="A43" s="3" t="inlineStr">
        <is>
          <t>Vitamin A supplementation (ANC)</t>
        </is>
      </c>
      <c r="B43" s="3" t="inlineStr">
        <is>
          <t>section</t>
        </is>
      </c>
      <c r="C43" s="3" t="inlineStr">
        <is>
          <t>Count</t>
        </is>
      </c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</row>
    <row r="44" ht="18" customHeight="1">
      <c r="A44" s="2" t="inlineStr">
        <is>
          <t xml:space="preserve">  Numerator (count)</t>
        </is>
      </c>
      <c r="B44" s="2" t="inlineStr"/>
      <c r="C44" s="2" t="inlineStr">
        <is>
          <t>anc_vita_dispensed_num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</row>
    <row r="45" ht="18" customHeight="1">
      <c r="A45" s="3" t="inlineStr">
        <is>
          <t xml:space="preserve">  Denominator (count)</t>
        </is>
      </c>
      <c r="B45" s="3" t="inlineStr"/>
      <c r="C45" s="3" t="inlineStr">
        <is>
          <t>anc_vita_dispensed_den</t>
        </is>
      </c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</row>
    <row r="46" ht="18" customHeight="1">
      <c r="A46" s="2" t="inlineStr">
        <is>
          <t xml:space="preserve">  Vitamin A supplementation (ANC) (%)</t>
        </is>
      </c>
      <c r="B46" s="2" t="inlineStr">
        <is>
          <t>pct</t>
        </is>
      </c>
      <c r="C46" s="2">
        <f>anc_vita_dispensed_num/anc_vita_dispensed_den*100</f>
        <v/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2" customWidth="1" min="4" max="4"/>
    <col width="24" customWidth="1" min="5" max="5"/>
    <col width="12" customWidth="1" min="6" max="6"/>
    <col width="26" customWidth="1" min="7" max="7"/>
    <col width="14" customWidth="1" min="8" max="8"/>
    <col width="36" customWidth="1" min="9" max="9"/>
    <col width="8" customWidth="1" min="10" max="10"/>
    <col width="36" customWidth="1" min="11" max="11"/>
    <col width="8" customWidth="1" min="12" max="12"/>
    <col width="36" customWidth="1" min="13" max="13"/>
    <col width="8" customWidth="1" min="14" max="14"/>
    <col width="36" customWidth="1" min="15" max="15"/>
    <col width="8" customWidth="1" min="16" max="16"/>
    <col width="36" customWidth="1" min="17" max="17"/>
    <col width="8" customWidth="1" min="18" max="18"/>
    <col width="36" customWidth="1" min="19" max="19"/>
    <col width="8" customWidth="1" min="20" max="20"/>
    <col width="36" customWidth="1" min="21" max="21"/>
    <col width="8" customWidth="1" min="22" max="22"/>
    <col width="36" customWidth="1" min="23" max="23"/>
  </cols>
  <sheetData>
    <row r="1" ht="30" customHeight="1">
      <c r="A1" s="1" t="inlineStr">
        <is>
          <t>filter_name</t>
        </is>
      </c>
      <c r="B1" s="1" t="inlineStr">
        <is>
          <t>measure</t>
        </is>
      </c>
      <c r="C1" s="1" t="inlineStr">
        <is>
          <t>unique_column</t>
        </is>
      </c>
      <c r="D1" s="1" t="inlineStr">
        <is>
          <t>variable1</t>
        </is>
      </c>
      <c r="E1" s="1" t="inlineStr">
        <is>
          <t>value1</t>
        </is>
      </c>
      <c r="F1" s="1" t="inlineStr">
        <is>
          <t>variable2</t>
        </is>
      </c>
      <c r="G1" s="1" t="inlineStr">
        <is>
          <t>value2</t>
        </is>
      </c>
      <c r="H1" s="1" t="inlineStr">
        <is>
          <t>variable3</t>
        </is>
      </c>
      <c r="I1" s="1" t="inlineStr">
        <is>
          <t>value3</t>
        </is>
      </c>
      <c r="J1" s="1" t="inlineStr">
        <is>
          <t>variable4</t>
        </is>
      </c>
      <c r="K1" s="1" t="inlineStr">
        <is>
          <t>value4</t>
        </is>
      </c>
      <c r="L1" s="1" t="inlineStr">
        <is>
          <t>variable5</t>
        </is>
      </c>
      <c r="M1" s="1" t="inlineStr">
        <is>
          <t>value5</t>
        </is>
      </c>
      <c r="N1" s="1" t="inlineStr">
        <is>
          <t>variable6</t>
        </is>
      </c>
      <c r="O1" s="1" t="inlineStr">
        <is>
          <t>value6</t>
        </is>
      </c>
      <c r="P1" s="1" t="inlineStr">
        <is>
          <t>variable7</t>
        </is>
      </c>
      <c r="Q1" s="1" t="inlineStr">
        <is>
          <t>value7</t>
        </is>
      </c>
      <c r="R1" s="1" t="inlineStr">
        <is>
          <t>variable8</t>
        </is>
      </c>
      <c r="S1" s="1" t="inlineStr">
        <is>
          <t>value8</t>
        </is>
      </c>
      <c r="T1" s="1" t="inlineStr">
        <is>
          <t>variable9</t>
        </is>
      </c>
      <c r="U1" s="1" t="inlineStr">
        <is>
          <t>value9</t>
        </is>
      </c>
      <c r="V1" s="1" t="inlineStr">
        <is>
          <t>variable10</t>
        </is>
      </c>
      <c r="W1" s="1" t="inlineStr">
        <is>
          <t>value10</t>
        </is>
      </c>
    </row>
    <row r="2" ht="18" customHeight="1">
      <c r="A2" s="2" t="inlineStr">
        <is>
          <t>anc_anaemia_screened_num</t>
        </is>
      </c>
      <c r="B2" s="2" t="inlineStr">
        <is>
          <t>count</t>
        </is>
      </c>
      <c r="C2" s="2" t="inlineStr">
        <is>
          <t>person_id</t>
        </is>
      </c>
      <c r="D2" s="2" t="inlineStr">
        <is>
          <t>Program</t>
        </is>
      </c>
      <c r="E2" s="2" t="inlineStr">
        <is>
          <t>ANC PROGRAM</t>
        </is>
      </c>
      <c r="F2" s="2" t="inlineStr">
        <is>
          <t>Encounter</t>
        </is>
      </c>
      <c r="G2" s="2" t="inlineStr">
        <is>
          <t>ANC VISIT</t>
        </is>
      </c>
      <c r="H2" s="2" t="inlineStr">
        <is>
          <t>concept_name</t>
        </is>
      </c>
      <c r="I2" s="2" t="inlineStr">
        <is>
          <t>Hb(g/dL)</t>
        </is>
      </c>
      <c r="J2" s="2" t="inlineStr">
        <is>
          <t>Value</t>
        </is>
      </c>
      <c r="K2" s="2" t="inlineStr">
        <is>
          <t>&lt;&gt;Not Done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 ht="18" customHeight="1">
      <c r="A3" s="3" t="inlineStr">
        <is>
          <t>anc_anaemia_screened_den</t>
        </is>
      </c>
      <c r="B3" s="3" t="inlineStr">
        <is>
          <t>count</t>
        </is>
      </c>
      <c r="C3" s="3" t="inlineStr">
        <is>
          <t>person_id</t>
        </is>
      </c>
      <c r="D3" s="3" t="inlineStr">
        <is>
          <t>Program</t>
        </is>
      </c>
      <c r="E3" s="3" t="inlineStr">
        <is>
          <t>ANC PROGRAM</t>
        </is>
      </c>
      <c r="F3" s="3" t="inlineStr">
        <is>
          <t>Encounter</t>
        </is>
      </c>
      <c r="G3" s="3" t="inlineStr">
        <is>
          <t>ANC VISIT</t>
        </is>
      </c>
      <c r="H3" s="3" t="inlineStr">
        <is>
          <t>concept_name</t>
        </is>
      </c>
      <c r="I3" s="3" t="inlineStr">
        <is>
          <t>Hb(g/dL)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18" customHeight="1">
      <c r="A4" s="2" t="inlineStr">
        <is>
          <t>anc_infection_screened_num</t>
        </is>
      </c>
      <c r="B4" s="2" t="inlineStr">
        <is>
          <t>count</t>
        </is>
      </c>
      <c r="C4" s="2" t="inlineStr">
        <is>
          <t>person_id</t>
        </is>
      </c>
      <c r="D4" s="2" t="inlineStr">
        <is>
          <t>Program</t>
        </is>
      </c>
      <c r="E4" s="2" t="inlineStr">
        <is>
          <t>ANC PROGRAM</t>
        </is>
      </c>
      <c r="F4" s="2" t="inlineStr">
        <is>
          <t>Encounter</t>
        </is>
      </c>
      <c r="G4" s="2" t="inlineStr">
        <is>
          <t>ANC VISIT</t>
        </is>
      </c>
      <c r="H4" s="2" t="inlineStr">
        <is>
          <t>concept_name</t>
        </is>
      </c>
      <c r="I4" s="2" t="inlineStr">
        <is>
          <t>Syphilis Test Result</t>
        </is>
      </c>
      <c r="J4" s="2" t="inlineStr">
        <is>
          <t>Value</t>
        </is>
      </c>
      <c r="K4" s="2" t="inlineStr">
        <is>
          <t>&lt;&gt;Not Done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</row>
    <row r="5" ht="18" customHeight="1">
      <c r="A5" s="3" t="inlineStr">
        <is>
          <t>anc_infection_screened_den</t>
        </is>
      </c>
      <c r="B5" s="3" t="inlineStr">
        <is>
          <t>count</t>
        </is>
      </c>
      <c r="C5" s="3" t="inlineStr">
        <is>
          <t>person_id</t>
        </is>
      </c>
      <c r="D5" s="3" t="inlineStr">
        <is>
          <t>Program</t>
        </is>
      </c>
      <c r="E5" s="3" t="inlineStr">
        <is>
          <t>ANC PROGRAM</t>
        </is>
      </c>
      <c r="F5" s="3" t="inlineStr">
        <is>
          <t>Encounter</t>
        </is>
      </c>
      <c r="G5" s="3" t="inlineStr">
        <is>
          <t>ANC VISIT</t>
        </is>
      </c>
      <c r="H5" s="3" t="inlineStr">
        <is>
          <t>concept_name</t>
        </is>
      </c>
      <c r="I5" s="3" t="inlineStr">
        <is>
          <t>Syphilis Test Result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18" customHeight="1">
      <c r="A6" s="2" t="inlineStr">
        <is>
          <t>anc_bp_screened_num</t>
        </is>
      </c>
      <c r="B6" s="2" t="inlineStr">
        <is>
          <t>count</t>
        </is>
      </c>
      <c r="C6" s="2" t="inlineStr">
        <is>
          <t>person_id</t>
        </is>
      </c>
      <c r="D6" s="2" t="inlineStr">
        <is>
          <t>Program</t>
        </is>
      </c>
      <c r="E6" s="2" t="inlineStr">
        <is>
          <t>ANC PROGRAM</t>
        </is>
      </c>
      <c r="F6" s="2" t="inlineStr">
        <is>
          <t>Encounter</t>
        </is>
      </c>
      <c r="G6" s="2" t="inlineStr">
        <is>
          <t>VITALS</t>
        </is>
      </c>
      <c r="H6" s="2" t="inlineStr">
        <is>
          <t>concept_name</t>
        </is>
      </c>
      <c r="I6" s="2" t="inlineStr">
        <is>
          <t>Systolic Pressure*</t>
        </is>
      </c>
      <c r="J6" s="2" t="inlineStr">
        <is>
          <t>Value</t>
        </is>
      </c>
      <c r="K6" s="2" t="inlineStr">
        <is>
          <t>IS NOT NULL (any numeric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</row>
    <row r="7" ht="18" customHeight="1">
      <c r="A7" s="3" t="inlineStr">
        <is>
          <t>anc_bp_screened_den</t>
        </is>
      </c>
      <c r="B7" s="3" t="inlineStr">
        <is>
          <t>count</t>
        </is>
      </c>
      <c r="C7" s="3" t="inlineStr">
        <is>
          <t>person_id</t>
        </is>
      </c>
      <c r="D7" s="3" t="inlineStr">
        <is>
          <t>Program</t>
        </is>
      </c>
      <c r="E7" s="3" t="inlineStr">
        <is>
          <t>ANC PROGRAM</t>
        </is>
      </c>
      <c r="F7" s="3" t="inlineStr">
        <is>
          <t>Encounter</t>
        </is>
      </c>
      <c r="G7" s="3" t="inlineStr">
        <is>
          <t>ANC VISIT</t>
        </is>
      </c>
      <c r="H7" s="3" t="inlineStr">
        <is>
          <t>concept_name</t>
        </is>
      </c>
      <c r="I7" s="3" t="inlineStr">
        <is>
          <t>(all ANC-enrolled)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  <row r="8" ht="18" customHeight="1">
      <c r="A8" s="2" t="inlineStr">
        <is>
          <t>anc_composite_3test_num</t>
        </is>
      </c>
      <c r="B8" s="2" t="inlineStr">
        <is>
          <t>count</t>
        </is>
      </c>
      <c r="C8" s="2" t="inlineStr">
        <is>
          <t>person_id</t>
        </is>
      </c>
      <c r="D8" s="2" t="inlineStr">
        <is>
          <t>Program</t>
        </is>
      </c>
      <c r="E8" s="2" t="inlineStr">
        <is>
          <t>ANC PROGRAM</t>
        </is>
      </c>
      <c r="F8" s="2" t="inlineStr">
        <is>
          <t>Encounter</t>
        </is>
      </c>
      <c r="G8" s="2" t="inlineStr">
        <is>
          <t>ANC VISIT + VITALS</t>
        </is>
      </c>
      <c r="H8" s="2" t="inlineStr">
        <is>
          <t>concept_name</t>
        </is>
      </c>
      <c r="I8" s="2" t="inlineStr">
        <is>
          <t>HIV Test AND Hb(g/dL) AND Systolic Pressure*</t>
        </is>
      </c>
      <c r="J8" s="2" t="inlineStr">
        <is>
          <t>Value</t>
        </is>
      </c>
      <c r="K8" s="2" t="inlineStr">
        <is>
          <t>all &lt;&gt;Not Done / all present, same visit date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</row>
    <row r="9" ht="18" customHeight="1">
      <c r="A9" s="3" t="inlineStr">
        <is>
          <t>anc_composite_3test_den</t>
        </is>
      </c>
      <c r="B9" s="3" t="inlineStr">
        <is>
          <t>count</t>
        </is>
      </c>
      <c r="C9" s="3" t="inlineStr">
        <is>
          <t>person_id</t>
        </is>
      </c>
      <c r="D9" s="3" t="inlineStr">
        <is>
          <t>Program</t>
        </is>
      </c>
      <c r="E9" s="3" t="inlineStr">
        <is>
          <t>ANC PROGRAM</t>
        </is>
      </c>
      <c r="F9" s="3" t="inlineStr">
        <is>
          <t>Encounter</t>
        </is>
      </c>
      <c r="G9" s="3" t="inlineStr">
        <is>
          <t>ANC VISIT</t>
        </is>
      </c>
      <c r="H9" s="3" t="inlineStr">
        <is>
          <t>concept_name</t>
        </is>
      </c>
      <c r="I9" s="3" t="inlineStr">
        <is>
          <t>ANC VISIT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</row>
    <row r="10" ht="18" customHeight="1">
      <c r="A10" s="2" t="inlineStr">
        <is>
          <t>anc_ultrasound_done_num</t>
        </is>
      </c>
      <c r="B10" s="2" t="inlineStr">
        <is>
          <t>count</t>
        </is>
      </c>
      <c r="C10" s="2" t="inlineStr">
        <is>
          <t>person_id</t>
        </is>
      </c>
      <c r="D10" s="2" t="inlineStr">
        <is>
          <t>Program</t>
        </is>
      </c>
      <c r="E10" s="2" t="inlineStr">
        <is>
          <t>ANC PROGRAM</t>
        </is>
      </c>
      <c r="F10" s="2" t="inlineStr">
        <is>
          <t>Encounter</t>
        </is>
      </c>
      <c r="G10" s="2" t="inlineStr">
        <is>
          <t>ANC VISIT</t>
        </is>
      </c>
      <c r="H10" s="2" t="inlineStr">
        <is>
          <t>concept_name</t>
        </is>
      </c>
      <c r="I10" s="2" t="inlineStr">
        <is>
          <t>Ultrasound scan status</t>
        </is>
      </c>
      <c r="J10" s="2" t="inlineStr">
        <is>
          <t>Value</t>
        </is>
      </c>
      <c r="K10" s="2" t="inlineStr">
        <is>
          <t>Ultrasound scan conducted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</row>
    <row r="11" ht="18" customHeight="1">
      <c r="A11" s="3" t="inlineStr">
        <is>
          <t>anc_ultrasound_done_den</t>
        </is>
      </c>
      <c r="B11" s="3" t="inlineStr">
        <is>
          <t>count</t>
        </is>
      </c>
      <c r="C11" s="3" t="inlineStr">
        <is>
          <t>person_id</t>
        </is>
      </c>
      <c r="D11" s="3" t="inlineStr">
        <is>
          <t>Program</t>
        </is>
      </c>
      <c r="E11" s="3" t="inlineStr">
        <is>
          <t>ANC PROGRAM</t>
        </is>
      </c>
      <c r="F11" s="3" t="inlineStr">
        <is>
          <t>Encounter</t>
        </is>
      </c>
      <c r="G11" s="3" t="inlineStr">
        <is>
          <t>ANC VISIT</t>
        </is>
      </c>
      <c r="H11" s="3" t="inlineStr">
        <is>
          <t>concept_name</t>
        </is>
      </c>
      <c r="I11" s="3" t="inlineStr">
        <is>
          <t>Ultrasound scan status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</row>
    <row r="12" ht="18" customHeight="1">
      <c r="A12" s="2" t="inlineStr">
        <is>
          <t>anc_tdv_2plus_num</t>
        </is>
      </c>
      <c r="B12" s="2" t="inlineStr">
        <is>
          <t>count</t>
        </is>
      </c>
      <c r="C12" s="2" t="inlineStr">
        <is>
          <t>person_id</t>
        </is>
      </c>
      <c r="D12" s="2" t="inlineStr">
        <is>
          <t>Program</t>
        </is>
      </c>
      <c r="E12" s="2" t="inlineStr">
        <is>
          <t>ANC PROGRAM</t>
        </is>
      </c>
      <c r="F12" s="2" t="inlineStr">
        <is>
          <t>Encounter</t>
        </is>
      </c>
      <c r="G12" s="2" t="inlineStr">
        <is>
          <t>Treatment</t>
        </is>
      </c>
      <c r="H12" s="2" t="inlineStr">
        <is>
          <t>concept_name</t>
        </is>
      </c>
      <c r="I12" s="2" t="inlineStr">
        <is>
          <t>TDV (cumulative count across visits)</t>
        </is>
      </c>
      <c r="J12" s="2" t="inlineStr">
        <is>
          <t>Value</t>
        </is>
      </c>
      <c r="K12" s="2" t="inlineStr">
        <is>
          <t>&gt;2 visits where TDV=Yes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</row>
    <row r="13" ht="18" customHeight="1">
      <c r="A13" s="3" t="inlineStr">
        <is>
          <t>anc_tdv_2plus_den</t>
        </is>
      </c>
      <c r="B13" s="3" t="inlineStr">
        <is>
          <t>count</t>
        </is>
      </c>
      <c r="C13" s="3" t="inlineStr">
        <is>
          <t>person_id</t>
        </is>
      </c>
      <c r="D13" s="3" t="inlineStr">
        <is>
          <t>Program</t>
        </is>
      </c>
      <c r="E13" s="3" t="inlineStr">
        <is>
          <t>ANC PROGRAM</t>
        </is>
      </c>
      <c r="F13" s="3" t="inlineStr">
        <is>
          <t>Encounter</t>
        </is>
      </c>
      <c r="G13" s="3" t="inlineStr">
        <is>
          <t>ANC VISIT</t>
        </is>
      </c>
      <c r="H13" s="3" t="inlineStr">
        <is>
          <t>concept_name</t>
        </is>
      </c>
      <c r="I13" s="3" t="inlineStr">
        <is>
          <t>ANC VISIT</t>
        </is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</row>
    <row r="14" ht="18" customHeight="1">
      <c r="A14" s="2" t="inlineStr">
        <is>
          <t>anc_fefo_dispensed_num</t>
        </is>
      </c>
      <c r="B14" s="2" t="inlineStr">
        <is>
          <t>count</t>
        </is>
      </c>
      <c r="C14" s="2" t="inlineStr">
        <is>
          <t>person_id</t>
        </is>
      </c>
      <c r="D14" s="2" t="inlineStr">
        <is>
          <t>Program</t>
        </is>
      </c>
      <c r="E14" s="2" t="inlineStr">
        <is>
          <t>ANC PROGRAM</t>
        </is>
      </c>
      <c r="F14" s="2" t="inlineStr">
        <is>
          <t>Encounter</t>
        </is>
      </c>
      <c r="G14" s="2" t="inlineStr">
        <is>
          <t>ANC VISIT</t>
        </is>
      </c>
      <c r="H14" s="2" t="inlineStr">
        <is>
          <t>concept_name</t>
        </is>
      </c>
      <c r="I14" s="2" t="inlineStr">
        <is>
          <t>Iron prescription</t>
        </is>
      </c>
      <c r="J14" s="2" t="inlineStr">
        <is>
          <t>Value</t>
        </is>
      </c>
      <c r="K14" s="2" t="inlineStr">
        <is>
          <t>Yes / any type recorded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</row>
    <row r="15" ht="18" customHeight="1">
      <c r="A15" s="3" t="inlineStr">
        <is>
          <t>anc_fefo_dispensed_den</t>
        </is>
      </c>
      <c r="B15" s="3" t="inlineStr">
        <is>
          <t>count</t>
        </is>
      </c>
      <c r="C15" s="3" t="inlineStr">
        <is>
          <t>person_id</t>
        </is>
      </c>
      <c r="D15" s="3" t="inlineStr">
        <is>
          <t>Program</t>
        </is>
      </c>
      <c r="E15" s="3" t="inlineStr">
        <is>
          <t>ANC PROGRAM</t>
        </is>
      </c>
      <c r="F15" s="3" t="inlineStr">
        <is>
          <t>Encounter</t>
        </is>
      </c>
      <c r="G15" s="3" t="inlineStr">
        <is>
          <t>ANC VISIT</t>
        </is>
      </c>
      <c r="H15" s="3" t="inlineStr">
        <is>
          <t>concept_name</t>
        </is>
      </c>
      <c r="I15" s="3" t="inlineStr">
        <is>
          <t>ANC VISIT</t>
        </is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</row>
    <row r="16" ht="18" customHeight="1">
      <c r="A16" s="2" t="inlineStr">
        <is>
          <t>anc_sp_dispensed_num</t>
        </is>
      </c>
      <c r="B16" s="2" t="inlineStr">
        <is>
          <t>count</t>
        </is>
      </c>
      <c r="C16" s="2" t="inlineStr">
        <is>
          <t>person_id</t>
        </is>
      </c>
      <c r="D16" s="2" t="inlineStr">
        <is>
          <t>Program</t>
        </is>
      </c>
      <c r="E16" s="2" t="inlineStr">
        <is>
          <t>ANC PROGRAM</t>
        </is>
      </c>
      <c r="F16" s="2" t="inlineStr">
        <is>
          <t>Encounter</t>
        </is>
      </c>
      <c r="G16" s="2" t="inlineStr">
        <is>
          <t>ANC VISIT</t>
        </is>
      </c>
      <c r="H16" s="2" t="inlineStr">
        <is>
          <t>concept_name</t>
        </is>
      </c>
      <c r="I16" s="2" t="inlineStr">
        <is>
          <t>SP</t>
        </is>
      </c>
      <c r="J16" s="2" t="inlineStr">
        <is>
          <t>Value</t>
        </is>
      </c>
      <c r="K16" s="2" t="inlineStr">
        <is>
          <t>IS NOT NULL (any quantity given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</row>
    <row r="17" ht="18" customHeight="1">
      <c r="A17" s="3" t="inlineStr">
        <is>
          <t>anc_sp_dispensed_den</t>
        </is>
      </c>
      <c r="B17" s="3" t="inlineStr">
        <is>
          <t>count</t>
        </is>
      </c>
      <c r="C17" s="3" t="inlineStr">
        <is>
          <t>person_id</t>
        </is>
      </c>
      <c r="D17" s="3" t="inlineStr">
        <is>
          <t>Program</t>
        </is>
      </c>
      <c r="E17" s="3" t="inlineStr">
        <is>
          <t>ANC PROGRAM</t>
        </is>
      </c>
      <c r="F17" s="3" t="inlineStr">
        <is>
          <t>Encounter</t>
        </is>
      </c>
      <c r="G17" s="3" t="inlineStr">
        <is>
          <t>ANC VISIT</t>
        </is>
      </c>
      <c r="H17" s="3" t="inlineStr">
        <is>
          <t>concept_name</t>
        </is>
      </c>
      <c r="I17" s="3" t="inlineStr">
        <is>
          <t>ANC VISIT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</row>
    <row r="18" ht="18" customHeight="1">
      <c r="A18" s="2" t="inlineStr">
        <is>
          <t>anc_aspirin_dispensed_num</t>
        </is>
      </c>
      <c r="B18" s="2" t="inlineStr">
        <is>
          <t>count</t>
        </is>
      </c>
      <c r="C18" s="2" t="inlineStr">
        <is>
          <t>person_id</t>
        </is>
      </c>
      <c r="D18" s="2" t="inlineStr">
        <is>
          <t>Program</t>
        </is>
      </c>
      <c r="E18" s="2" t="inlineStr">
        <is>
          <t>ANC PROGRAM</t>
        </is>
      </c>
      <c r="F18" s="2" t="inlineStr">
        <is>
          <t>Encounter</t>
        </is>
      </c>
      <c r="G18" s="2" t="inlineStr">
        <is>
          <t>ANC VISIT</t>
        </is>
      </c>
      <c r="H18" s="2" t="inlineStr">
        <is>
          <t>concept_name</t>
        </is>
      </c>
      <c r="I18" s="2" t="inlineStr">
        <is>
          <t>Aspirin provided</t>
        </is>
      </c>
      <c r="J18" s="2" t="inlineStr">
        <is>
          <t>Value</t>
        </is>
      </c>
      <c r="K18" s="2" t="inlineStr">
        <is>
          <t>Yes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  <row r="19" ht="18" customHeight="1">
      <c r="A19" s="3" t="inlineStr">
        <is>
          <t>anc_aspirin_dispensed_den</t>
        </is>
      </c>
      <c r="B19" s="3" t="inlineStr">
        <is>
          <t>count</t>
        </is>
      </c>
      <c r="C19" s="3" t="inlineStr">
        <is>
          <t>person_id</t>
        </is>
      </c>
      <c r="D19" s="3" t="inlineStr">
        <is>
          <t>Program</t>
        </is>
      </c>
      <c r="E19" s="3" t="inlineStr">
        <is>
          <t>ANC PROGRAM</t>
        </is>
      </c>
      <c r="F19" s="3" t="inlineStr">
        <is>
          <t>Encounter</t>
        </is>
      </c>
      <c r="G19" s="3" t="inlineStr">
        <is>
          <t>ANC VISIT</t>
        </is>
      </c>
      <c r="H19" s="3" t="inlineStr">
        <is>
          <t>concept_name</t>
        </is>
      </c>
      <c r="I19" s="3" t="inlineStr">
        <is>
          <t>ANC VISIT</t>
        </is>
      </c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</row>
    <row r="20" ht="18" customHeight="1">
      <c r="A20" s="2" t="inlineStr">
        <is>
          <t>anc_itn_given_num</t>
        </is>
      </c>
      <c r="B20" s="2" t="inlineStr">
        <is>
          <t>count</t>
        </is>
      </c>
      <c r="C20" s="2" t="inlineStr">
        <is>
          <t>person_id</t>
        </is>
      </c>
      <c r="D20" s="2" t="inlineStr">
        <is>
          <t>Program</t>
        </is>
      </c>
      <c r="E20" s="2" t="inlineStr">
        <is>
          <t>ANC PROGRAM</t>
        </is>
      </c>
      <c r="F20" s="2" t="inlineStr">
        <is>
          <t>Encounter</t>
        </is>
      </c>
      <c r="G20" s="2" t="inlineStr">
        <is>
          <t>ANC VISIT</t>
        </is>
      </c>
      <c r="H20" s="2" t="inlineStr">
        <is>
          <t>concept_name</t>
        </is>
      </c>
      <c r="I20" s="2" t="inlineStr">
        <is>
          <t>Insecticide treated net given</t>
        </is>
      </c>
      <c r="J20" s="2" t="inlineStr">
        <is>
          <t>Value</t>
        </is>
      </c>
      <c r="K20" s="2" t="inlineStr">
        <is>
          <t>Yes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</row>
    <row r="21" ht="18" customHeight="1">
      <c r="A21" s="3" t="inlineStr">
        <is>
          <t>anc_itn_given_den</t>
        </is>
      </c>
      <c r="B21" s="3" t="inlineStr">
        <is>
          <t>count</t>
        </is>
      </c>
      <c r="C21" s="3" t="inlineStr">
        <is>
          <t>person_id</t>
        </is>
      </c>
      <c r="D21" s="3" t="inlineStr">
        <is>
          <t>Program</t>
        </is>
      </c>
      <c r="E21" s="3" t="inlineStr">
        <is>
          <t>ANC PROGRAM</t>
        </is>
      </c>
      <c r="F21" s="3" t="inlineStr">
        <is>
          <t>Encounter</t>
        </is>
      </c>
      <c r="G21" s="3" t="inlineStr">
        <is>
          <t>ANC VISIT</t>
        </is>
      </c>
      <c r="H21" s="3" t="inlineStr">
        <is>
          <t>concept_name</t>
        </is>
      </c>
      <c r="I21" s="3" t="inlineStr">
        <is>
          <t>ANC VISIT</t>
        </is>
      </c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</row>
    <row r="22" ht="18" customHeight="1">
      <c r="A22" s="2" t="inlineStr">
        <is>
          <t>anc_vita_dispensed_num</t>
        </is>
      </c>
      <c r="B22" s="2" t="inlineStr">
        <is>
          <t>count</t>
        </is>
      </c>
      <c r="C22" s="2" t="inlineStr">
        <is>
          <t>person_id</t>
        </is>
      </c>
      <c r="D22" s="2" t="inlineStr">
        <is>
          <t>Program</t>
        </is>
      </c>
      <c r="E22" s="2" t="inlineStr">
        <is>
          <t>ANC PROGRAM</t>
        </is>
      </c>
      <c r="F22" s="2" t="inlineStr">
        <is>
          <t>Encounter</t>
        </is>
      </c>
      <c r="G22" s="2" t="inlineStr">
        <is>
          <t>ANC VISIT</t>
        </is>
      </c>
      <c r="H22" s="2" t="inlineStr">
        <is>
          <t>concept_name</t>
        </is>
      </c>
      <c r="I22" s="2" t="inlineStr">
        <is>
          <t>Vitamin A prescription</t>
        </is>
      </c>
      <c r="J22" s="2" t="inlineStr">
        <is>
          <t>Value</t>
        </is>
      </c>
      <c r="K22" s="2" t="inlineStr">
        <is>
          <t>IS NOT NULL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</row>
    <row r="23" ht="18" customHeight="1">
      <c r="A23" s="3" t="inlineStr">
        <is>
          <t>anc_vita_dispensed_den</t>
        </is>
      </c>
      <c r="B23" s="3" t="inlineStr">
        <is>
          <t>count</t>
        </is>
      </c>
      <c r="C23" s="3" t="inlineStr">
        <is>
          <t>person_id</t>
        </is>
      </c>
      <c r="D23" s="3" t="inlineStr">
        <is>
          <t>Program</t>
        </is>
      </c>
      <c r="E23" s="3" t="inlineStr">
        <is>
          <t>ANC PROGRAM</t>
        </is>
      </c>
      <c r="F23" s="3" t="inlineStr">
        <is>
          <t>Encounter</t>
        </is>
      </c>
      <c r="G23" s="3" t="inlineStr">
        <is>
          <t>ANC VISIT</t>
        </is>
      </c>
      <c r="H23" s="3" t="inlineStr">
        <is>
          <t>concept_name</t>
        </is>
      </c>
      <c r="I23" s="3" t="inlineStr">
        <is>
          <t>ANC VISIT</t>
        </is>
      </c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4" t="inlineStr">
        <is>
          <t>id</t>
        </is>
      </c>
      <c r="B1" s="4" t="inlineStr">
        <is>
          <t>name</t>
        </is>
      </c>
    </row>
    <row r="2">
      <c r="A2" t="inlineStr">
        <is>
          <t>mnid_anc_report_v1</t>
        </is>
      </c>
      <c r="B2" t="inlineStr">
        <is>
          <t>MAHIS MNID ANC INDICATORS MONTHLY REPORT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4" t="inlineStr">
        <is>
          <t>period</t>
        </is>
      </c>
    </row>
    <row r="2">
      <c r="A2" t="inlineStr">
        <is>
          <t>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8" customWidth="1" min="3" max="3"/>
    <col width="32" customWidth="1" min="4" max="4"/>
    <col width="40" customWidth="1" min="5" max="5"/>
    <col width="40" customWidth="1" min="6" max="6"/>
  </cols>
  <sheetData>
    <row r="1">
      <c r="A1" s="4" t="inlineStr">
        <is>
          <t>CHART NAME</t>
        </is>
      </c>
      <c r="B1" s="4" t="inlineStr">
        <is>
          <t>CHART TYPE</t>
        </is>
      </c>
      <c r="C1" s="4" t="inlineStr">
        <is>
          <t>PROGRAM</t>
        </is>
      </c>
      <c r="D1" s="4" t="inlineStr">
        <is>
          <t>ENCOUNTER TO USE</t>
        </is>
      </c>
      <c r="E1" s="4" t="inlineStr">
        <is>
          <t>CONCEPT TO USE</t>
        </is>
      </c>
      <c r="F1" s="4" t="inlineStr">
        <is>
          <t>NOTES</t>
        </is>
      </c>
    </row>
    <row r="2" ht="22" customHeight="1">
      <c r="A2" s="5" t="inlineStr">
        <is>
          <t>ANC MNID — Anaemia Screening Coverage</t>
        </is>
      </c>
      <c r="B2" s="5" t="inlineStr">
        <is>
          <t>Count + Column</t>
        </is>
      </c>
      <c r="C2" s="5" t="inlineStr">
        <is>
          <t>ANC PROGRAM</t>
        </is>
      </c>
      <c r="D2" s="5" t="inlineStr">
        <is>
          <t>ANC VISIT</t>
        </is>
      </c>
      <c r="E2" s="5" t="inlineStr">
        <is>
          <t>Hb(g/dL)</t>
        </is>
      </c>
      <c r="F2" s="5" t="inlineStr">
        <is>
          <t>Numerator = != 'Not Done'; Denominator = all</t>
        </is>
      </c>
    </row>
    <row r="3" ht="22" customHeight="1">
      <c r="A3" s="6" t="inlineStr">
        <is>
          <t>ANC MNID — Infection Screening Coverage</t>
        </is>
      </c>
      <c r="B3" s="6" t="inlineStr">
        <is>
          <t>Grouped Bar</t>
        </is>
      </c>
      <c r="C3" s="6" t="inlineStr">
        <is>
          <t>ANC PROGRAM</t>
        </is>
      </c>
      <c r="D3" s="6" t="inlineStr">
        <is>
          <t>ANC VISIT</t>
        </is>
      </c>
      <c r="E3" s="6" t="inlineStr">
        <is>
          <t>Syphilis Test Result, Hepatitis B</t>
        </is>
      </c>
      <c r="F3" s="6" t="inlineStr">
        <is>
          <t>Separate bars per infection type</t>
        </is>
      </c>
    </row>
    <row r="4" ht="22" customHeight="1">
      <c r="A4" s="5" t="inlineStr">
        <is>
          <t>ANC MNID — Blood Pressure Screening Coverage</t>
        </is>
      </c>
      <c r="B4" s="5" t="inlineStr">
        <is>
          <t>Count</t>
        </is>
      </c>
      <c r="C4" s="5" t="inlineStr">
        <is>
          <t>ANC PROGRAM</t>
        </is>
      </c>
      <c r="D4" s="5" t="inlineStr">
        <is>
          <t>VITALS</t>
        </is>
      </c>
      <c r="E4" s="5" t="inlineStr">
        <is>
          <t>Systolic Pressure*</t>
        </is>
      </c>
      <c r="F4" s="5" t="inlineStr">
        <is>
          <t>Numeric &gt; 0 = screened</t>
        </is>
      </c>
    </row>
    <row r="5" ht="22" customHeight="1">
      <c r="A5" s="6" t="inlineStr">
        <is>
          <t>ANC MNID — HIV+Hb+BP Composite</t>
        </is>
      </c>
      <c r="B5" s="6" t="inlineStr">
        <is>
          <t>Donut</t>
        </is>
      </c>
      <c r="C5" s="6" t="inlineStr">
        <is>
          <t>ANC PROGRAM</t>
        </is>
      </c>
      <c r="D5" s="6" t="inlineStr">
        <is>
          <t>ANC VISIT + VITALS</t>
        </is>
      </c>
      <c r="E5" s="6" t="inlineStr">
        <is>
          <t>HIV Test, Hb(g/dL), Systolic Pressure*</t>
        </is>
      </c>
      <c r="F5" s="6" t="inlineStr">
        <is>
          <t>Composite — requires custom JOIN</t>
        </is>
      </c>
    </row>
    <row r="6" ht="22" customHeight="1">
      <c r="A6" s="5" t="inlineStr">
        <is>
          <t>ANC MNID — Ultrasound / POCUS Coverage</t>
        </is>
      </c>
      <c r="B6" s="5" t="inlineStr">
        <is>
          <t>Count + Donut</t>
        </is>
      </c>
      <c r="C6" s="5" t="inlineStr">
        <is>
          <t>ANC PROGRAM</t>
        </is>
      </c>
      <c r="D6" s="5" t="inlineStr">
        <is>
          <t>ANC VISIT</t>
        </is>
      </c>
      <c r="E6" s="5" t="inlineStr">
        <is>
          <t>Ultrasound scan status</t>
        </is>
      </c>
      <c r="F6" s="5" t="inlineStr">
        <is>
          <t>Conducted vs Not done</t>
        </is>
      </c>
    </row>
    <row r="7" ht="22" customHeight="1">
      <c r="A7" s="6" t="inlineStr">
        <is>
          <t>ANC MNID — TDV 2+ Doses Coverage</t>
        </is>
      </c>
      <c r="B7" s="6" t="inlineStr">
        <is>
          <t>Count</t>
        </is>
      </c>
      <c r="C7" s="6" t="inlineStr">
        <is>
          <t>ANC PROGRAM</t>
        </is>
      </c>
      <c r="D7" s="6" t="inlineStr">
        <is>
          <t>ANC VISIT (aggregate)</t>
        </is>
      </c>
      <c r="E7" s="6" t="inlineStr">
        <is>
          <t>TDV</t>
        </is>
      </c>
      <c r="F7" s="6" t="inlineStr">
        <is>
          <t>Count visits TDV=Yes per person &gt;= 2</t>
        </is>
      </c>
    </row>
    <row r="8" ht="22" customHeight="1">
      <c r="A8" s="5" t="inlineStr">
        <is>
          <t>ANC Medicines — Iron+Folic Acid (FeFo) Dispensed</t>
        </is>
      </c>
      <c r="B8" s="5" t="inlineStr">
        <is>
          <t>Horizontal Bar</t>
        </is>
      </c>
      <c r="C8" s="5" t="inlineStr">
        <is>
          <t>ANC PROGRAM</t>
        </is>
      </c>
      <c r="D8" s="5" t="inlineStr">
        <is>
          <t>ANC VISIT</t>
        </is>
      </c>
      <c r="E8" s="5" t="inlineStr">
        <is>
          <t>Iron prescription</t>
        </is>
      </c>
      <c r="F8" s="5" t="inlineStr">
        <is>
          <t>% of visits with iron dispensed</t>
        </is>
      </c>
    </row>
    <row r="9" ht="22" customHeight="1">
      <c r="A9" s="6" t="inlineStr">
        <is>
          <t>ANC Medicines — SP Malaria Prophylaxis</t>
        </is>
      </c>
      <c r="B9" s="6" t="inlineStr">
        <is>
          <t>Horizontal Bar</t>
        </is>
      </c>
      <c r="C9" s="6" t="inlineStr">
        <is>
          <t>ANC PROGRAM</t>
        </is>
      </c>
      <c r="D9" s="6" t="inlineStr">
        <is>
          <t>ANC VISIT</t>
        </is>
      </c>
      <c r="E9" s="6" t="inlineStr">
        <is>
          <t>SP</t>
        </is>
      </c>
      <c r="F9" s="6" t="inlineStr">
        <is>
          <t>Tablets given per visit</t>
        </is>
      </c>
    </row>
    <row r="10" ht="22" customHeight="1">
      <c r="A10" s="5" t="inlineStr">
        <is>
          <t>ANC Medicines — Aspirin Coverage</t>
        </is>
      </c>
      <c r="B10" s="5" t="inlineStr">
        <is>
          <t>Count</t>
        </is>
      </c>
      <c r="C10" s="5" t="inlineStr">
        <is>
          <t>ANC PROGRAM</t>
        </is>
      </c>
      <c r="D10" s="5" t="inlineStr">
        <is>
          <t>ANC VISIT</t>
        </is>
      </c>
      <c r="E10" s="5" t="inlineStr">
        <is>
          <t>Aspirin provided</t>
        </is>
      </c>
      <c r="F10" s="5" t="inlineStr">
        <is>
          <t>Aspirin = Yes vs No vs Not prescribed</t>
        </is>
      </c>
    </row>
    <row r="11" ht="22" customHeight="1">
      <c r="A11" s="6" t="inlineStr">
        <is>
          <t>ANC Medicines — ITN Distribution</t>
        </is>
      </c>
      <c r="B11" s="6" t="inlineStr">
        <is>
          <t>Donut</t>
        </is>
      </c>
      <c r="C11" s="6" t="inlineStr">
        <is>
          <t>ANC PROGRAM</t>
        </is>
      </c>
      <c r="D11" s="6" t="inlineStr">
        <is>
          <t>ANC VISIT</t>
        </is>
      </c>
      <c r="E11" s="6" t="inlineStr">
        <is>
          <t>Insecticide treated net given</t>
        </is>
      </c>
      <c r="F11" s="6" t="inlineStr">
        <is>
          <t>Received vs Not received</t>
        </is>
      </c>
    </row>
    <row r="12" ht="22" customHeight="1">
      <c r="A12" s="5" t="inlineStr">
        <is>
          <t>ANC Medicines — Vitamin A Dispensed</t>
        </is>
      </c>
      <c r="B12" s="5" t="inlineStr">
        <is>
          <t>Count</t>
        </is>
      </c>
      <c r="C12" s="5" t="inlineStr">
        <is>
          <t>ANC PROGRAM</t>
        </is>
      </c>
      <c r="D12" s="5" t="inlineStr">
        <is>
          <t>ANC VISIT</t>
        </is>
      </c>
      <c r="E12" s="5" t="inlineStr">
        <is>
          <t>Vitamin A prescription</t>
        </is>
      </c>
      <c r="F12" s="5" t="inlineStr">
        <is>
          <t>% dispensed per ANC visit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40" customWidth="1" min="3" max="3"/>
    <col width="36" customWidth="1" min="4" max="4"/>
    <col width="14" customWidth="1" min="5" max="5"/>
    <col width="16" customWidth="1" min="6" max="6"/>
  </cols>
  <sheetData>
    <row r="1">
      <c r="A1" s="4" t="inlineStr">
        <is>
          <t>Program</t>
        </is>
      </c>
      <c r="B1" s="4" t="inlineStr">
        <is>
          <t>Encounter</t>
        </is>
      </c>
      <c r="C1" s="4" t="inlineStr">
        <is>
          <t>concept_name</t>
        </is>
      </c>
      <c r="D1" s="4" t="inlineStr">
        <is>
          <t>Value</t>
        </is>
      </c>
      <c r="E1" s="4" t="inlineStr">
        <is>
          <t>Measure</t>
        </is>
      </c>
      <c r="F1" s="4" t="inlineStr">
        <is>
          <t>Unique_columns</t>
        </is>
      </c>
    </row>
    <row r="2" ht="18" customHeight="1">
      <c r="A2" s="7" t="inlineStr">
        <is>
          <t>ANC PROGRAM</t>
        </is>
      </c>
      <c r="B2" s="7" t="inlineStr">
        <is>
          <t>ANC VISIT</t>
        </is>
      </c>
      <c r="C2" s="7" t="inlineStr">
        <is>
          <t>Hb(g/dL)</t>
        </is>
      </c>
      <c r="D2" s="7" t="inlineStr">
        <is>
          <t>normal range 11-14 g/dL</t>
        </is>
      </c>
      <c r="E2" s="7" t="inlineStr">
        <is>
          <t>count</t>
        </is>
      </c>
      <c r="F2" s="7" t="inlineStr">
        <is>
          <t>person_id</t>
        </is>
      </c>
    </row>
    <row r="3" ht="18" customHeight="1">
      <c r="A3" s="8" t="inlineStr">
        <is>
          <t>ANC PROGRAM</t>
        </is>
      </c>
      <c r="B3" s="8" t="inlineStr">
        <is>
          <t>ANC VISIT</t>
        </is>
      </c>
      <c r="C3" s="8" t="inlineStr">
        <is>
          <t>Hb(g/dL)</t>
        </is>
      </c>
      <c r="D3" s="8" t="inlineStr">
        <is>
          <t>Not Done</t>
        </is>
      </c>
      <c r="E3" s="8" t="inlineStr">
        <is>
          <t>count</t>
        </is>
      </c>
      <c r="F3" s="8" t="inlineStr">
        <is>
          <t>person_id</t>
        </is>
      </c>
    </row>
    <row r="4" ht="18" customHeight="1">
      <c r="A4" s="7" t="inlineStr">
        <is>
          <t>ANC PROGRAM</t>
        </is>
      </c>
      <c r="B4" s="7" t="inlineStr">
        <is>
          <t>ANC VISIT</t>
        </is>
      </c>
      <c r="C4" s="7" t="inlineStr">
        <is>
          <t>Syphilis Test Result</t>
        </is>
      </c>
      <c r="D4" s="7" t="inlineStr">
        <is>
          <t>Negative</t>
        </is>
      </c>
      <c r="E4" s="7" t="inlineStr">
        <is>
          <t>count</t>
        </is>
      </c>
      <c r="F4" s="7" t="inlineStr">
        <is>
          <t>person_id</t>
        </is>
      </c>
    </row>
    <row r="5" ht="18" customHeight="1">
      <c r="A5" s="8" t="inlineStr">
        <is>
          <t>ANC PROGRAM</t>
        </is>
      </c>
      <c r="B5" s="8" t="inlineStr">
        <is>
          <t>ANC VISIT</t>
        </is>
      </c>
      <c r="C5" s="8" t="inlineStr">
        <is>
          <t>Syphilis Test Result</t>
        </is>
      </c>
      <c r="D5" s="8" t="inlineStr">
        <is>
          <t>Not Done</t>
        </is>
      </c>
      <c r="E5" s="8" t="inlineStr">
        <is>
          <t>count</t>
        </is>
      </c>
      <c r="F5" s="8" t="inlineStr">
        <is>
          <t>person_id</t>
        </is>
      </c>
    </row>
    <row r="6" ht="18" customHeight="1">
      <c r="A6" s="7" t="inlineStr">
        <is>
          <t>ANC PROGRAM</t>
        </is>
      </c>
      <c r="B6" s="7" t="inlineStr">
        <is>
          <t>VITALS</t>
        </is>
      </c>
      <c r="C6" s="7" t="inlineStr">
        <is>
          <t>Systolic Pressure*</t>
        </is>
      </c>
      <c r="D6" s="7" t="inlineStr">
        <is>
          <t>(numeric value)</t>
        </is>
      </c>
      <c r="E6" s="7" t="inlineStr">
        <is>
          <t>count</t>
        </is>
      </c>
      <c r="F6" s="7" t="inlineStr">
        <is>
          <t>person_id</t>
        </is>
      </c>
    </row>
    <row r="7" ht="18" customHeight="1">
      <c r="A7" s="8" t="inlineStr">
        <is>
          <t>ANC PROGRAM</t>
        </is>
      </c>
      <c r="B7" s="8" t="inlineStr">
        <is>
          <t>ANC VISIT</t>
        </is>
      </c>
      <c r="C7" s="8" t="inlineStr">
        <is>
          <t>Ultrasound scan status</t>
        </is>
      </c>
      <c r="D7" s="8" t="inlineStr">
        <is>
          <t>Ultrasound scan conducted</t>
        </is>
      </c>
      <c r="E7" s="8" t="inlineStr">
        <is>
          <t>count</t>
        </is>
      </c>
      <c r="F7" s="8" t="inlineStr">
        <is>
          <t>person_id</t>
        </is>
      </c>
    </row>
    <row r="8" ht="18" customHeight="1">
      <c r="A8" s="7" t="inlineStr">
        <is>
          <t>ANC PROGRAM</t>
        </is>
      </c>
      <c r="B8" s="7" t="inlineStr">
        <is>
          <t>ANC VISIT</t>
        </is>
      </c>
      <c r="C8" s="7" t="inlineStr">
        <is>
          <t>TDV</t>
        </is>
      </c>
      <c r="D8" s="7" t="inlineStr">
        <is>
          <t>Yes</t>
        </is>
      </c>
      <c r="E8" s="7" t="inlineStr">
        <is>
          <t>count</t>
        </is>
      </c>
      <c r="F8" s="7" t="inlineStr">
        <is>
          <t>person_id</t>
        </is>
      </c>
    </row>
    <row r="9" ht="18" customHeight="1">
      <c r="A9" s="8" t="inlineStr">
        <is>
          <t>ANC PROGRAM</t>
        </is>
      </c>
      <c r="B9" s="8" t="inlineStr">
        <is>
          <t>ANC VISIT</t>
        </is>
      </c>
      <c r="C9" s="8" t="inlineStr">
        <is>
          <t>Iron prescription</t>
        </is>
      </c>
      <c r="D9" s="8" t="inlineStr">
        <is>
          <t>(any value)</t>
        </is>
      </c>
      <c r="E9" s="8" t="inlineStr">
        <is>
          <t>count</t>
        </is>
      </c>
      <c r="F9" s="8" t="inlineStr">
        <is>
          <t>person_id</t>
        </is>
      </c>
    </row>
    <row r="10" ht="18" customHeight="1">
      <c r="A10" s="7" t="inlineStr">
        <is>
          <t>ANC PROGRAM</t>
        </is>
      </c>
      <c r="B10" s="7" t="inlineStr">
        <is>
          <t>ANC VISIT</t>
        </is>
      </c>
      <c r="C10" s="7" t="inlineStr">
        <is>
          <t>SP</t>
        </is>
      </c>
      <c r="D10" s="7" t="inlineStr">
        <is>
          <t>(any value)</t>
        </is>
      </c>
      <c r="E10" s="7" t="inlineStr">
        <is>
          <t>count</t>
        </is>
      </c>
      <c r="F10" s="7" t="inlineStr">
        <is>
          <t>person_id</t>
        </is>
      </c>
    </row>
    <row r="11" ht="18" customHeight="1">
      <c r="A11" s="8" t="inlineStr">
        <is>
          <t>ANC PROGRAM</t>
        </is>
      </c>
      <c r="B11" s="8" t="inlineStr">
        <is>
          <t>ANC VISIT</t>
        </is>
      </c>
      <c r="C11" s="8" t="inlineStr">
        <is>
          <t>Aspirin provided</t>
        </is>
      </c>
      <c r="D11" s="8" t="inlineStr">
        <is>
          <t>Yes</t>
        </is>
      </c>
      <c r="E11" s="8" t="inlineStr">
        <is>
          <t>count</t>
        </is>
      </c>
      <c r="F11" s="8" t="inlineStr">
        <is>
          <t>person_id</t>
        </is>
      </c>
    </row>
    <row r="12" ht="18" customHeight="1">
      <c r="A12" s="7" t="inlineStr">
        <is>
          <t>ANC PROGRAM</t>
        </is>
      </c>
      <c r="B12" s="7" t="inlineStr">
        <is>
          <t>ANC VISIT</t>
        </is>
      </c>
      <c r="C12" s="7" t="inlineStr">
        <is>
          <t>Insecticide treated net given</t>
        </is>
      </c>
      <c r="D12" s="7" t="inlineStr">
        <is>
          <t>Yes</t>
        </is>
      </c>
      <c r="E12" s="7" t="inlineStr">
        <is>
          <t>count</t>
        </is>
      </c>
      <c r="F12" s="7" t="inlineStr">
        <is>
          <t>person_id</t>
        </is>
      </c>
    </row>
    <row r="13" ht="18" customHeight="1">
      <c r="A13" s="8" t="inlineStr">
        <is>
          <t>ANC PROGRAM</t>
        </is>
      </c>
      <c r="B13" s="8" t="inlineStr">
        <is>
          <t>ANC VISIT</t>
        </is>
      </c>
      <c r="C13" s="8" t="inlineStr">
        <is>
          <t>Vitamin A prescription</t>
        </is>
      </c>
      <c r="D13" s="8" t="inlineStr">
        <is>
          <t>(any value)</t>
        </is>
      </c>
      <c r="E13" s="8" t="inlineStr">
        <is>
          <t>count</t>
        </is>
      </c>
      <c r="F13" s="8" t="inlineStr">
        <is>
          <t>person_id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2026-03-27T06:27:49Z</dcterms:created>
  <dcterms:modified xsi:type="dcterms:W3CDTF">2026-03-27T06:27:50Z</dcterms:modified>
</cp:coreProperties>
</file>